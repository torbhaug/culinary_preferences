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aug\culinary_preferences\data\raw\"/>
    </mc:Choice>
  </mc:AlternateContent>
  <xr:revisionPtr revIDLastSave="0" documentId="13_ncr:1_{4262B765-0DDB-48B2-B35F-24A0086A0BA6}" xr6:coauthVersionLast="47" xr6:coauthVersionMax="47" xr10:uidLastSave="{00000000-0000-0000-0000-000000000000}"/>
  <bookViews>
    <workbookView xWindow="-110" yWindow="-110" windowWidth="22620" windowHeight="13500" activeTab="5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  <sheet name="2025" sheetId="6" r:id="rId6"/>
    <sheet name="Einars teorem" sheetId="7" r:id="rId7"/>
    <sheet name="Oldtons selekterin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6" l="1"/>
  <c r="B38" i="6"/>
  <c r="B37" i="6"/>
  <c r="G30" i="6"/>
  <c r="F30" i="6"/>
  <c r="E30" i="6"/>
  <c r="D30" i="6"/>
  <c r="C30" i="6"/>
  <c r="G29" i="6"/>
  <c r="F29" i="6"/>
  <c r="E29" i="6"/>
  <c r="D29" i="6"/>
  <c r="C29" i="6"/>
  <c r="G28" i="6"/>
  <c r="F28" i="6"/>
  <c r="E28" i="6"/>
  <c r="D28" i="6"/>
  <c r="C28" i="6"/>
  <c r="G27" i="6"/>
  <c r="F27" i="6"/>
  <c r="E27" i="6"/>
  <c r="D27" i="6"/>
  <c r="C27" i="6"/>
  <c r="G26" i="6"/>
  <c r="F26" i="6"/>
  <c r="E26" i="6"/>
  <c r="D26" i="6"/>
  <c r="C26" i="6"/>
  <c r="L25" i="6"/>
  <c r="K25" i="6"/>
  <c r="H25" i="6"/>
  <c r="I25" i="6" s="1"/>
  <c r="J25" i="6" s="1"/>
  <c r="L24" i="6"/>
  <c r="K24" i="6"/>
  <c r="H24" i="6"/>
  <c r="I24" i="6" s="1"/>
  <c r="J24" i="6" s="1"/>
  <c r="L23" i="6"/>
  <c r="K23" i="6"/>
  <c r="H23" i="6"/>
  <c r="I23" i="6" s="1"/>
  <c r="J23" i="6" s="1"/>
  <c r="L22" i="6"/>
  <c r="K22" i="6"/>
  <c r="H22" i="6"/>
  <c r="L21" i="6"/>
  <c r="K21" i="6"/>
  <c r="H21" i="6"/>
  <c r="I21" i="6" s="1"/>
  <c r="J21" i="6" s="1"/>
  <c r="L20" i="6"/>
  <c r="K20" i="6"/>
  <c r="H20" i="6"/>
  <c r="I20" i="6" s="1"/>
  <c r="J20" i="6" s="1"/>
  <c r="L19" i="6"/>
  <c r="K19" i="6"/>
  <c r="H19" i="6"/>
  <c r="I19" i="6" s="1"/>
  <c r="J19" i="6" s="1"/>
  <c r="L18" i="6"/>
  <c r="K18" i="6"/>
  <c r="H18" i="6"/>
  <c r="I18" i="6" s="1"/>
  <c r="J18" i="6" s="1"/>
  <c r="L17" i="6"/>
  <c r="K17" i="6"/>
  <c r="H17" i="6"/>
  <c r="I17" i="6" s="1"/>
  <c r="J17" i="6" s="1"/>
  <c r="L16" i="6"/>
  <c r="K16" i="6"/>
  <c r="I16" i="6"/>
  <c r="J16" i="6" s="1"/>
  <c r="H16" i="6"/>
  <c r="L15" i="6"/>
  <c r="K15" i="6"/>
  <c r="H15" i="6"/>
  <c r="L14" i="6"/>
  <c r="K14" i="6"/>
  <c r="H14" i="6"/>
  <c r="I14" i="6" s="1"/>
  <c r="J14" i="6" s="1"/>
  <c r="L13" i="6"/>
  <c r="K13" i="6"/>
  <c r="H13" i="6"/>
  <c r="I13" i="6" s="1"/>
  <c r="J13" i="6" s="1"/>
  <c r="P12" i="6"/>
  <c r="L12" i="6"/>
  <c r="K12" i="6"/>
  <c r="H12" i="6"/>
  <c r="P11" i="6"/>
  <c r="L11" i="6"/>
  <c r="K11" i="6"/>
  <c r="H11" i="6"/>
  <c r="I11" i="6" s="1"/>
  <c r="J11" i="6" s="1"/>
  <c r="X10" i="6"/>
  <c r="W10" i="6"/>
  <c r="V10" i="6"/>
  <c r="U10" i="6"/>
  <c r="T10" i="6"/>
  <c r="S10" i="6"/>
  <c r="R10" i="6"/>
  <c r="Q10" i="6"/>
  <c r="P10" i="6"/>
  <c r="L10" i="6"/>
  <c r="K10" i="6"/>
  <c r="H10" i="6"/>
  <c r="X9" i="6"/>
  <c r="W9" i="6"/>
  <c r="V9" i="6"/>
  <c r="U9" i="6"/>
  <c r="T9" i="6"/>
  <c r="S9" i="6"/>
  <c r="R9" i="6"/>
  <c r="Q9" i="6"/>
  <c r="P9" i="6"/>
  <c r="L9" i="6"/>
  <c r="K9" i="6"/>
  <c r="H9" i="6"/>
  <c r="I9" i="6" s="1"/>
  <c r="J9" i="6" s="1"/>
  <c r="X8" i="6"/>
  <c r="W8" i="6"/>
  <c r="V8" i="6"/>
  <c r="U8" i="6"/>
  <c r="T8" i="6"/>
  <c r="S8" i="6"/>
  <c r="R8" i="6"/>
  <c r="Q8" i="6"/>
  <c r="P8" i="6"/>
  <c r="L8" i="6"/>
  <c r="K8" i="6"/>
  <c r="H8" i="6"/>
  <c r="L7" i="6"/>
  <c r="K7" i="6"/>
  <c r="H7" i="6"/>
  <c r="I7" i="6" s="1"/>
  <c r="J7" i="6" s="1"/>
  <c r="L6" i="6"/>
  <c r="K6" i="6"/>
  <c r="H6" i="6"/>
  <c r="I6" i="6" s="1"/>
  <c r="J6" i="6" s="1"/>
  <c r="L5" i="6"/>
  <c r="K5" i="6"/>
  <c r="H5" i="6"/>
  <c r="L4" i="6"/>
  <c r="K4" i="6"/>
  <c r="H4" i="6"/>
  <c r="L3" i="6"/>
  <c r="K3" i="6"/>
  <c r="H3" i="6"/>
  <c r="I3" i="6" s="1"/>
  <c r="J3" i="6" s="1"/>
  <c r="L2" i="6"/>
  <c r="K2" i="6"/>
  <c r="H2" i="6"/>
  <c r="C39" i="6" s="1"/>
  <c r="B39" i="5"/>
  <c r="B38" i="5"/>
  <c r="B37" i="5"/>
  <c r="H30" i="5"/>
  <c r="F30" i="5"/>
  <c r="E30" i="5"/>
  <c r="D30" i="5"/>
  <c r="C30" i="5"/>
  <c r="H29" i="5"/>
  <c r="F29" i="5"/>
  <c r="E29" i="5"/>
  <c r="D29" i="5"/>
  <c r="C29" i="5"/>
  <c r="H28" i="5"/>
  <c r="F28" i="5"/>
  <c r="E28" i="5"/>
  <c r="D28" i="5"/>
  <c r="C28" i="5"/>
  <c r="H27" i="5"/>
  <c r="F27" i="5"/>
  <c r="E27" i="5"/>
  <c r="D27" i="5"/>
  <c r="C27" i="5"/>
  <c r="H26" i="5"/>
  <c r="F26" i="5"/>
  <c r="E26" i="5"/>
  <c r="D26" i="5"/>
  <c r="C26" i="5"/>
  <c r="M25" i="5"/>
  <c r="L25" i="5"/>
  <c r="I25" i="5"/>
  <c r="M24" i="5"/>
  <c r="L24" i="5"/>
  <c r="I24" i="5"/>
  <c r="J24" i="5" s="1"/>
  <c r="K24" i="5" s="1"/>
  <c r="M23" i="5"/>
  <c r="L23" i="5"/>
  <c r="I23" i="5"/>
  <c r="J23" i="5" s="1"/>
  <c r="K23" i="5" s="1"/>
  <c r="M22" i="5"/>
  <c r="L22" i="5"/>
  <c r="I22" i="5"/>
  <c r="M21" i="5"/>
  <c r="L21" i="5"/>
  <c r="I21" i="5"/>
  <c r="J21" i="5" s="1"/>
  <c r="K21" i="5" s="1"/>
  <c r="M20" i="5"/>
  <c r="L20" i="5"/>
  <c r="J20" i="5"/>
  <c r="K20" i="5" s="1"/>
  <c r="I20" i="5"/>
  <c r="M19" i="5"/>
  <c r="L19" i="5"/>
  <c r="I19" i="5"/>
  <c r="J19" i="5" s="1"/>
  <c r="K19" i="5" s="1"/>
  <c r="M18" i="5"/>
  <c r="L18" i="5"/>
  <c r="I18" i="5"/>
  <c r="J18" i="5" s="1"/>
  <c r="K18" i="5" s="1"/>
  <c r="M17" i="5"/>
  <c r="L17" i="5"/>
  <c r="I17" i="5"/>
  <c r="J17" i="5" s="1"/>
  <c r="K17" i="5" s="1"/>
  <c r="M16" i="5"/>
  <c r="L16" i="5"/>
  <c r="I16" i="5"/>
  <c r="J16" i="5" s="1"/>
  <c r="K16" i="5" s="1"/>
  <c r="M15" i="5"/>
  <c r="L15" i="5"/>
  <c r="I15" i="5"/>
  <c r="J15" i="5" s="1"/>
  <c r="K15" i="5" s="1"/>
  <c r="M14" i="5"/>
  <c r="L14" i="5"/>
  <c r="J14" i="5"/>
  <c r="K14" i="5" s="1"/>
  <c r="I14" i="5"/>
  <c r="M13" i="5"/>
  <c r="L13" i="5"/>
  <c r="J13" i="5"/>
  <c r="K13" i="5" s="1"/>
  <c r="I13" i="5"/>
  <c r="M12" i="5"/>
  <c r="L12" i="5"/>
  <c r="I12" i="5"/>
  <c r="J12" i="5" s="1"/>
  <c r="K12" i="5" s="1"/>
  <c r="U11" i="5"/>
  <c r="R11" i="5"/>
  <c r="M11" i="5"/>
  <c r="L11" i="5"/>
  <c r="I11" i="5"/>
  <c r="J11" i="5" s="1"/>
  <c r="K11" i="5" s="1"/>
  <c r="U10" i="5"/>
  <c r="T10" i="5"/>
  <c r="S10" i="5"/>
  <c r="R10" i="5"/>
  <c r="Q10" i="5"/>
  <c r="M10" i="5"/>
  <c r="L10" i="5"/>
  <c r="I10" i="5"/>
  <c r="J10" i="5" s="1"/>
  <c r="K10" i="5" s="1"/>
  <c r="U9" i="5"/>
  <c r="T9" i="5"/>
  <c r="S9" i="5"/>
  <c r="R9" i="5"/>
  <c r="Q9" i="5"/>
  <c r="M9" i="5"/>
  <c r="L9" i="5"/>
  <c r="I9" i="5"/>
  <c r="U8" i="5"/>
  <c r="T8" i="5"/>
  <c r="S8" i="5"/>
  <c r="R8" i="5"/>
  <c r="Q8" i="5"/>
  <c r="M8" i="5"/>
  <c r="L8" i="5"/>
  <c r="I8" i="5"/>
  <c r="J8" i="5" s="1"/>
  <c r="K8" i="5" s="1"/>
  <c r="M7" i="5"/>
  <c r="L7" i="5"/>
  <c r="I7" i="5"/>
  <c r="J7" i="5" s="1"/>
  <c r="K7" i="5" s="1"/>
  <c r="M6" i="5"/>
  <c r="L6" i="5"/>
  <c r="I6" i="5"/>
  <c r="M5" i="5"/>
  <c r="L5" i="5"/>
  <c r="I5" i="5"/>
  <c r="J5" i="5" s="1"/>
  <c r="K5" i="5" s="1"/>
  <c r="M4" i="5"/>
  <c r="L4" i="5"/>
  <c r="J4" i="5"/>
  <c r="K4" i="5" s="1"/>
  <c r="I4" i="5"/>
  <c r="M3" i="5"/>
  <c r="L3" i="5"/>
  <c r="I3" i="5"/>
  <c r="M2" i="5"/>
  <c r="L2" i="5"/>
  <c r="I2" i="5"/>
  <c r="C39" i="5" s="1"/>
  <c r="B39" i="4"/>
  <c r="B38" i="4"/>
  <c r="B37" i="4"/>
  <c r="K30" i="4"/>
  <c r="J30" i="4"/>
  <c r="H30" i="4"/>
  <c r="G30" i="4"/>
  <c r="F30" i="4"/>
  <c r="E30" i="4"/>
  <c r="D30" i="4"/>
  <c r="C30" i="4"/>
  <c r="K29" i="4"/>
  <c r="J29" i="4"/>
  <c r="I29" i="4"/>
  <c r="H29" i="4"/>
  <c r="G29" i="4"/>
  <c r="F29" i="4"/>
  <c r="E29" i="4"/>
  <c r="D29" i="4"/>
  <c r="C29" i="4"/>
  <c r="K28" i="4"/>
  <c r="J28" i="4"/>
  <c r="I28" i="4"/>
  <c r="H28" i="4"/>
  <c r="G28" i="4"/>
  <c r="F28" i="4"/>
  <c r="E28" i="4"/>
  <c r="D28" i="4"/>
  <c r="C28" i="4"/>
  <c r="K27" i="4"/>
  <c r="J27" i="4"/>
  <c r="I27" i="4"/>
  <c r="H27" i="4"/>
  <c r="G27" i="4"/>
  <c r="F27" i="4"/>
  <c r="E27" i="4"/>
  <c r="D27" i="4"/>
  <c r="C27" i="4"/>
  <c r="K26" i="4"/>
  <c r="J26" i="4"/>
  <c r="I26" i="4"/>
  <c r="H26" i="4"/>
  <c r="G26" i="4"/>
  <c r="F26" i="4"/>
  <c r="E26" i="4"/>
  <c r="D26" i="4"/>
  <c r="C26" i="4"/>
  <c r="P25" i="4"/>
  <c r="O25" i="4"/>
  <c r="L25" i="4"/>
  <c r="P24" i="4"/>
  <c r="O24" i="4"/>
  <c r="L24" i="4"/>
  <c r="P23" i="4"/>
  <c r="O23" i="4"/>
  <c r="L23" i="4"/>
  <c r="P22" i="4"/>
  <c r="O22" i="4"/>
  <c r="L22" i="4"/>
  <c r="P21" i="4"/>
  <c r="O21" i="4"/>
  <c r="L21" i="4"/>
  <c r="P20" i="4"/>
  <c r="O20" i="4"/>
  <c r="L20" i="4"/>
  <c r="P19" i="4"/>
  <c r="O19" i="4"/>
  <c r="L19" i="4"/>
  <c r="I18" i="4"/>
  <c r="P18" i="4" s="1"/>
  <c r="P17" i="4"/>
  <c r="O17" i="4"/>
  <c r="L17" i="4"/>
  <c r="P16" i="4"/>
  <c r="O16" i="4"/>
  <c r="L16" i="4"/>
  <c r="P15" i="4"/>
  <c r="O15" i="4"/>
  <c r="L15" i="4"/>
  <c r="P14" i="4"/>
  <c r="O14" i="4"/>
  <c r="L14" i="4"/>
  <c r="P13" i="4"/>
  <c r="O13" i="4"/>
  <c r="L13" i="4"/>
  <c r="Z12" i="4"/>
  <c r="P12" i="4"/>
  <c r="O12" i="4"/>
  <c r="L12" i="4"/>
  <c r="Z11" i="4"/>
  <c r="P11" i="4"/>
  <c r="O11" i="4"/>
  <c r="L11" i="4"/>
  <c r="AB10" i="4"/>
  <c r="AA10" i="4"/>
  <c r="Z10" i="4"/>
  <c r="Y10" i="4"/>
  <c r="X10" i="4"/>
  <c r="W10" i="4"/>
  <c r="V10" i="4"/>
  <c r="U10" i="4"/>
  <c r="T10" i="4"/>
  <c r="P10" i="4"/>
  <c r="O10" i="4"/>
  <c r="L10" i="4"/>
  <c r="AB9" i="4"/>
  <c r="AA9" i="4"/>
  <c r="Z9" i="4"/>
  <c r="Y9" i="4"/>
  <c r="X9" i="4"/>
  <c r="W9" i="4"/>
  <c r="V9" i="4"/>
  <c r="U9" i="4"/>
  <c r="T9" i="4"/>
  <c r="P9" i="4"/>
  <c r="O9" i="4"/>
  <c r="L9" i="4"/>
  <c r="AB8" i="4"/>
  <c r="AA8" i="4"/>
  <c r="Z8" i="4"/>
  <c r="Y8" i="4"/>
  <c r="X8" i="4"/>
  <c r="W8" i="4"/>
  <c r="V8" i="4"/>
  <c r="U8" i="4"/>
  <c r="T8" i="4"/>
  <c r="P8" i="4"/>
  <c r="O8" i="4"/>
  <c r="L8" i="4"/>
  <c r="P7" i="4"/>
  <c r="O7" i="4"/>
  <c r="L7" i="4"/>
  <c r="P6" i="4"/>
  <c r="O6" i="4"/>
  <c r="L6" i="4"/>
  <c r="P5" i="4"/>
  <c r="O5" i="4"/>
  <c r="L5" i="4"/>
  <c r="P4" i="4"/>
  <c r="O4" i="4"/>
  <c r="L4" i="4"/>
  <c r="P3" i="4"/>
  <c r="O3" i="4"/>
  <c r="L3" i="4"/>
  <c r="P2" i="4"/>
  <c r="O2" i="4"/>
  <c r="L2" i="4"/>
  <c r="H32" i="3"/>
  <c r="B30" i="3"/>
  <c r="B29" i="3"/>
  <c r="B28" i="3"/>
  <c r="G26" i="3"/>
  <c r="F26" i="3"/>
  <c r="E26" i="3"/>
  <c r="C26" i="3"/>
  <c r="H26" i="3" s="1"/>
  <c r="H25" i="3"/>
  <c r="H24" i="3"/>
  <c r="H23" i="3"/>
  <c r="H22" i="3"/>
  <c r="H21" i="3"/>
  <c r="H20" i="3"/>
  <c r="H19" i="3"/>
  <c r="H18" i="3"/>
  <c r="H17" i="3"/>
  <c r="H16" i="3"/>
  <c r="C29" i="3" s="1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32" i="2"/>
  <c r="B30" i="2"/>
  <c r="B29" i="2"/>
  <c r="B28" i="2"/>
  <c r="G26" i="2"/>
  <c r="F26" i="2"/>
  <c r="E26" i="2"/>
  <c r="D26" i="2"/>
  <c r="C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32" i="1"/>
  <c r="C30" i="1"/>
  <c r="B30" i="1"/>
  <c r="B29" i="1"/>
  <c r="C28" i="1"/>
  <c r="B28" i="1"/>
  <c r="G26" i="1"/>
  <c r="F26" i="1"/>
  <c r="E26" i="1"/>
  <c r="D26" i="1"/>
  <c r="C26" i="1"/>
  <c r="H26" i="1" s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C29" i="1" s="1"/>
  <c r="C29" i="2" l="1"/>
  <c r="H26" i="2"/>
  <c r="C28" i="2"/>
  <c r="C30" i="3"/>
  <c r="C28" i="3"/>
  <c r="J9" i="5"/>
  <c r="K9" i="5" s="1"/>
  <c r="I30" i="5"/>
  <c r="H26" i="6"/>
  <c r="I26" i="5"/>
  <c r="C30" i="2"/>
  <c r="L18" i="4"/>
  <c r="M9" i="4" s="1"/>
  <c r="N9" i="4" s="1"/>
  <c r="J6" i="5"/>
  <c r="K6" i="5" s="1"/>
  <c r="J25" i="5"/>
  <c r="K25" i="5" s="1"/>
  <c r="C37" i="5"/>
  <c r="I4" i="6"/>
  <c r="J4" i="6" s="1"/>
  <c r="I10" i="6"/>
  <c r="J10" i="6" s="1"/>
  <c r="J3" i="5"/>
  <c r="K3" i="5" s="1"/>
  <c r="J2" i="5"/>
  <c r="K2" i="5" s="1"/>
  <c r="O18" i="4"/>
  <c r="I30" i="4"/>
  <c r="C38" i="5"/>
  <c r="J22" i="5"/>
  <c r="K22" i="5" s="1"/>
  <c r="I8" i="6"/>
  <c r="J8" i="6" s="1"/>
  <c r="I12" i="6"/>
  <c r="J12" i="6" s="1"/>
  <c r="I15" i="6"/>
  <c r="J15" i="6" s="1"/>
  <c r="H30" i="6"/>
  <c r="I5" i="6"/>
  <c r="J5" i="6" s="1"/>
  <c r="I2" i="6"/>
  <c r="J2" i="6" s="1"/>
  <c r="C37" i="6"/>
  <c r="I22" i="6"/>
  <c r="J22" i="6" s="1"/>
  <c r="C38" i="6"/>
  <c r="M6" i="4" l="1"/>
  <c r="N6" i="4" s="1"/>
  <c r="M5" i="4"/>
  <c r="N5" i="4" s="1"/>
  <c r="M15" i="4"/>
  <c r="N15" i="4" s="1"/>
  <c r="L30" i="4"/>
  <c r="M11" i="4"/>
  <c r="N11" i="4" s="1"/>
  <c r="M12" i="4"/>
  <c r="N12" i="4" s="1"/>
  <c r="M4" i="4"/>
  <c r="N4" i="4" s="1"/>
  <c r="M23" i="4"/>
  <c r="N23" i="4" s="1"/>
  <c r="M22" i="4"/>
  <c r="N22" i="4" s="1"/>
  <c r="M19" i="4"/>
  <c r="N19" i="4" s="1"/>
  <c r="C37" i="4"/>
  <c r="M20" i="4"/>
  <c r="N20" i="4" s="1"/>
  <c r="M7" i="4"/>
  <c r="N7" i="4" s="1"/>
  <c r="M10" i="4"/>
  <c r="N10" i="4" s="1"/>
  <c r="L26" i="4"/>
  <c r="M2" i="4"/>
  <c r="N2" i="4" s="1"/>
  <c r="M16" i="4"/>
  <c r="N16" i="4" s="1"/>
  <c r="M13" i="4"/>
  <c r="N13" i="4" s="1"/>
  <c r="M17" i="4"/>
  <c r="N17" i="4" s="1"/>
  <c r="M14" i="4"/>
  <c r="N14" i="4" s="1"/>
  <c r="M3" i="4"/>
  <c r="N3" i="4" s="1"/>
  <c r="C38" i="4"/>
  <c r="M18" i="4"/>
  <c r="N18" i="4" s="1"/>
  <c r="C39" i="4"/>
  <c r="M8" i="4"/>
  <c r="N8" i="4" s="1"/>
  <c r="M25" i="4"/>
  <c r="N25" i="4" s="1"/>
  <c r="M21" i="4"/>
  <c r="N21" i="4" s="1"/>
  <c r="M24" i="4"/>
  <c r="N24" i="4" s="1"/>
</calcChain>
</file>

<file path=xl/sharedStrings.xml><?xml version="1.0" encoding="utf-8"?>
<sst xmlns="http://schemas.openxmlformats.org/spreadsheetml/2006/main" count="516" uniqueCount="227">
  <si>
    <t>Nummer</t>
  </si>
  <si>
    <t>ØL</t>
  </si>
  <si>
    <t>Øl</t>
  </si>
  <si>
    <t>Matsiboy</t>
  </si>
  <si>
    <t>Torbz</t>
  </si>
  <si>
    <t>Hermz</t>
  </si>
  <si>
    <t>Nur</t>
  </si>
  <si>
    <t>Vedo</t>
  </si>
  <si>
    <t>Alko</t>
  </si>
  <si>
    <t>Gjennomsnitt</t>
  </si>
  <si>
    <t>Varians</t>
  </si>
  <si>
    <t>Nr. 1:</t>
  </si>
  <si>
    <t>Ægir Happy Red Ale</t>
  </si>
  <si>
    <t>Grebbestad Lager</t>
  </si>
  <si>
    <t>gay</t>
  </si>
  <si>
    <t>San Miguel</t>
  </si>
  <si>
    <t>Nr. 2:</t>
  </si>
  <si>
    <t>Lofoten Pale Ale</t>
  </si>
  <si>
    <t>Bron IPA</t>
  </si>
  <si>
    <t>Nr. 3:</t>
  </si>
  <si>
    <t>Singha Lager</t>
  </si>
  <si>
    <t>Three Hearts Julöl</t>
  </si>
  <si>
    <t>Sour Suzy Berliner Weis</t>
  </si>
  <si>
    <t>Nr. 4:</t>
  </si>
  <si>
    <t>Leffe Blonde</t>
  </si>
  <si>
    <t>Drank</t>
  </si>
  <si>
    <t>Nøisom juleøl</t>
  </si>
  <si>
    <t>Hansa Lite Mango IPA</t>
  </si>
  <si>
    <t>Nr. 5:</t>
  </si>
  <si>
    <t>Vikingøl (Herman hjemmebrygg)</t>
  </si>
  <si>
    <t>ECD Ramp Pale Ale</t>
  </si>
  <si>
    <t xml:space="preserve">Nr. 6: </t>
  </si>
  <si>
    <t>Kirin Ichiban</t>
  </si>
  <si>
    <t>Gulden Draak</t>
  </si>
  <si>
    <t>Berent Jaktpils</t>
  </si>
  <si>
    <t>Susanne</t>
  </si>
  <si>
    <t xml:space="preserve">Nr. 7: </t>
  </si>
  <si>
    <t>Swedish Elk Brew</t>
  </si>
  <si>
    <t>Guinness</t>
  </si>
  <si>
    <t>Nr. 8:</t>
  </si>
  <si>
    <t>Colleen</t>
  </si>
  <si>
    <t xml:space="preserve">Bringebærdrøm (Herman hjemmebrygg) </t>
  </si>
  <si>
    <t>Bitchcraft</t>
  </si>
  <si>
    <t>Raul</t>
  </si>
  <si>
    <t>Sondre</t>
  </si>
  <si>
    <t>Nr. 9:</t>
  </si>
  <si>
    <t>Weihenstephaner Hefe Weissbier</t>
  </si>
  <si>
    <t>Ranking</t>
  </si>
  <si>
    <t>Beer</t>
  </si>
  <si>
    <t>Grevens Moscow Mule</t>
  </si>
  <si>
    <t>Dahls juleøl</t>
  </si>
  <si>
    <t>Nr. 10:</t>
  </si>
  <si>
    <t>Standardavvik</t>
  </si>
  <si>
    <t>Julebord 2022 (APA, Herman hjemmebrygg)</t>
  </si>
  <si>
    <t>Max-Min</t>
  </si>
  <si>
    <t>Amundsen Apocalyptic Thunder Juice</t>
  </si>
  <si>
    <t>Nr. 11:</t>
  </si>
  <si>
    <t>Innis &amp; Gun Oak Aged Beer</t>
  </si>
  <si>
    <t>Maredsous 10° Tripel</t>
  </si>
  <si>
    <t>Nr. 12:</t>
  </si>
  <si>
    <t>St. Peter's Cream Stout</t>
  </si>
  <si>
    <t>Hansa Høstøl</t>
  </si>
  <si>
    <t>Rudolf</t>
  </si>
  <si>
    <t>Nr. 13:</t>
  </si>
  <si>
    <t>Brew Dog Punk IPA</t>
  </si>
  <si>
    <t>Nr. 14:</t>
  </si>
  <si>
    <t>Kasteel Rouge</t>
  </si>
  <si>
    <t>Aass IPA Papaya &amp; Guava</t>
  </si>
  <si>
    <t>Amundsen Ink &amp; Dagger</t>
  </si>
  <si>
    <t>Nr. 15:</t>
  </si>
  <si>
    <t>Big Wave</t>
  </si>
  <si>
    <t xml:space="preserve">Nr. 16: </t>
  </si>
  <si>
    <t>Budweiser</t>
  </si>
  <si>
    <t>Nisseøl (Herman hjemmebrygg)</t>
  </si>
  <si>
    <t>FAXE EXTRA STRONG</t>
  </si>
  <si>
    <t xml:space="preserve">Nr. 17: </t>
  </si>
  <si>
    <t>Lusse Lelle</t>
  </si>
  <si>
    <t>Estrella Inedit</t>
  </si>
  <si>
    <t>Nr. 18:</t>
  </si>
  <si>
    <t>Snøblind pils</t>
  </si>
  <si>
    <t>APA (Herman hjemmebrygg)</t>
  </si>
  <si>
    <t>Hansa Sp. Bayer</t>
  </si>
  <si>
    <t>Nr. 19:</t>
  </si>
  <si>
    <t>Adriaen Brouwer Tripel</t>
  </si>
  <si>
    <t>uno</t>
  </si>
  <si>
    <t>Gipsy Hill Filugar</t>
  </si>
  <si>
    <t>Mack Witb.</t>
  </si>
  <si>
    <t>Nr. 20:</t>
  </si>
  <si>
    <t>Mythos</t>
  </si>
  <si>
    <t>Ægir Hoppy Sanchez</t>
  </si>
  <si>
    <t>Lindemans Oude Kriek</t>
  </si>
  <si>
    <t>Devilproject Diabolical</t>
  </si>
  <si>
    <t>Nr. 21:</t>
  </si>
  <si>
    <t>Gross Premium Lager</t>
  </si>
  <si>
    <t>Thornbridge Mokaya C</t>
  </si>
  <si>
    <t>Nr. 22:</t>
  </si>
  <si>
    <t>Lindemans Apple</t>
  </si>
  <si>
    <t>Frydenlund Pils</t>
  </si>
  <si>
    <t>Pravda Putin Huyo</t>
  </si>
  <si>
    <t>Nr. 23:</t>
  </si>
  <si>
    <t>7Fjell Småtøs</t>
  </si>
  <si>
    <t>Kinn Gamleguten Lys Stout</t>
  </si>
  <si>
    <t>Red Stripe</t>
  </si>
  <si>
    <t>Grieskirckner Wiener</t>
  </si>
  <si>
    <t>Hansa Spe. Chili</t>
  </si>
  <si>
    <t>Northern Monk (Northern star? Heaven '22?)</t>
  </si>
  <si>
    <t>Nr. 24:</t>
  </si>
  <si>
    <t>Tale of a Whale</t>
  </si>
  <si>
    <t>Poppels Mango Passion</t>
  </si>
  <si>
    <t>Giljagaur Barley Wine</t>
  </si>
  <si>
    <t>Nøgne Brun Jul</t>
  </si>
  <si>
    <t>GJENNOMSNITT TOTALT</t>
  </si>
  <si>
    <t>Hawkes Urban Orchard</t>
  </si>
  <si>
    <t>Nøisom stout</t>
  </si>
  <si>
    <t>Aass Blanc</t>
  </si>
  <si>
    <t>Ringnes Juleøl</t>
  </si>
  <si>
    <t>Mack Juleøl</t>
  </si>
  <si>
    <t>Lervig Peach Pilsner</t>
  </si>
  <si>
    <t>Kinn Vestkyst India</t>
  </si>
  <si>
    <t>Firestone Walker Blueberry</t>
  </si>
  <si>
    <t>St. Austell Proper J</t>
  </si>
  <si>
    <t>Lier Eplecider</t>
  </si>
  <si>
    <t>London Porter</t>
  </si>
  <si>
    <t>TOPP 3</t>
  </si>
  <si>
    <t>Boon Oude Geuze!</t>
  </si>
  <si>
    <t>Bygland Framgården Love of Kveik</t>
  </si>
  <si>
    <t>Minuspoeng</t>
  </si>
  <si>
    <t>Disko</t>
  </si>
  <si>
    <t>BESTE ØLSMAKER</t>
  </si>
  <si>
    <t>Black Sombrero</t>
  </si>
  <si>
    <t>slakterkølsj</t>
  </si>
  <si>
    <t>Monkey Brew Pomona Wheat Lemon</t>
  </si>
  <si>
    <t>Lucky Buddha</t>
  </si>
  <si>
    <t>Samuel Smith's Winter Welcome Ale</t>
  </si>
  <si>
    <t>Old Speckled Hen</t>
  </si>
  <si>
    <t>Aass Bock</t>
  </si>
  <si>
    <t>Staropramen</t>
  </si>
  <si>
    <t>Stout Nitro</t>
  </si>
  <si>
    <t>Kriek Boon Cherry</t>
  </si>
  <si>
    <t>Bryggeri</t>
  </si>
  <si>
    <t>gløgg sour</t>
  </si>
  <si>
    <t>Grunnlagt</t>
  </si>
  <si>
    <t>Ægir bryggeri</t>
  </si>
  <si>
    <t>Lofotpils</t>
  </si>
  <si>
    <t>Lervig</t>
  </si>
  <si>
    <t>Nøisom</t>
  </si>
  <si>
    <t>Kirin Brewery Company Limited</t>
  </si>
  <si>
    <t>Feral Brewing Co.</t>
  </si>
  <si>
    <t>Mishappen</t>
  </si>
  <si>
    <t>E.C. Dahls bryggeri</t>
  </si>
  <si>
    <t>Maredsous 10 tripel</t>
  </si>
  <si>
    <t>Duvel Moortgat Brewery</t>
  </si>
  <si>
    <t>Nibe bryghus</t>
  </si>
  <si>
    <t>?</t>
  </si>
  <si>
    <t>Amundsen Bryggeri</t>
  </si>
  <si>
    <t>FAXE Extra Strong</t>
  </si>
  <si>
    <t>Faxe bryggeri / Royal Unibrew</t>
  </si>
  <si>
    <t>Asahi Super Dry</t>
  </si>
  <si>
    <t>Fjordfolk mikrobryggeri</t>
  </si>
  <si>
    <t>Gipsy Hill Brewery</t>
  </si>
  <si>
    <t>Thornbridge Brewery</t>
  </si>
  <si>
    <t>7 Fjell Bryggeri</t>
  </si>
  <si>
    <t>Northern Monk</t>
  </si>
  <si>
    <t>Ay caramba</t>
  </si>
  <si>
    <t>Northern Monk Brewery</t>
  </si>
  <si>
    <t>Nøisom Stout</t>
  </si>
  <si>
    <t>Nr 1</t>
  </si>
  <si>
    <t>Nr 2</t>
  </si>
  <si>
    <t>For</t>
  </si>
  <si>
    <t>Imot</t>
  </si>
  <si>
    <t>Drink med noe rart i</t>
  </si>
  <si>
    <t>Hermz' stoutskvip</t>
  </si>
  <si>
    <t>Nr 3</t>
  </si>
  <si>
    <t>Ingen</t>
  </si>
  <si>
    <t>Eksempler</t>
  </si>
  <si>
    <t>Kontroversiell cappuchinoshot</t>
  </si>
  <si>
    <t>IIII</t>
  </si>
  <si>
    <t>Max - Min</t>
  </si>
  <si>
    <t>Accuracy</t>
  </si>
  <si>
    <t>TOPP 3 ØL</t>
  </si>
  <si>
    <t>Singha Lager 🇹🇭</t>
  </si>
  <si>
    <t>Nordstjerna IPA</t>
  </si>
  <si>
    <t>Saku Porter 🇪🇪</t>
  </si>
  <si>
    <t>Monkey Brew Double Bock</t>
  </si>
  <si>
    <t>Global/Hoppy Pale Ale</t>
  </si>
  <si>
    <t>Cliff Dive Blonde 🇵🇹</t>
  </si>
  <si>
    <t>Hazy Session IPA</t>
  </si>
  <si>
    <t>Frydenlund Bokkøl 🇳🇴</t>
  </si>
  <si>
    <t>Bruza Kirsu Sartais</t>
  </si>
  <si>
    <t>Bernard Amber 🇨🇿</t>
  </si>
  <si>
    <t>Hjemmebrygget juleøl</t>
  </si>
  <si>
    <t>Jacobsen Brown Ale 🇩🇰</t>
  </si>
  <si>
    <t>Wisby Klosterøl 🇸🇪</t>
  </si>
  <si>
    <t>Juicy Fruktig IPA</t>
  </si>
  <si>
    <t>A ship full of IPA 🇸🇪</t>
  </si>
  <si>
    <t>Nøisom pils lys lager</t>
  </si>
  <si>
    <t>Tail of a Whale 🇸🇪</t>
  </si>
  <si>
    <t>Vetlebror session IPA</t>
  </si>
  <si>
    <t>Morgana Brygghus Juleøl 🇳🇴</t>
  </si>
  <si>
    <t>Framboise Boon</t>
  </si>
  <si>
    <t>Fema Cream Ale 🇵🇹</t>
  </si>
  <si>
    <t>Grilløl</t>
  </si>
  <si>
    <t>Finn chocolate Stout 🇸🇪</t>
  </si>
  <si>
    <t>Dugges Tropical Stillwater 🇸🇪</t>
  </si>
  <si>
    <t>Bajuvator Doppelbock Dunker</t>
  </si>
  <si>
    <t>Westmalle Trappist Trippel</t>
  </si>
  <si>
    <t>Tucher Bajuvator Doppelbock 🇩🇪</t>
  </si>
  <si>
    <t>Dahls Kong Vinter</t>
  </si>
  <si>
    <t>Cesu Kirsu Sartais 🇱🇻</t>
  </si>
  <si>
    <t>Blåtime juleøl</t>
  </si>
  <si>
    <t>Jacobsen Brown Ale</t>
  </si>
  <si>
    <t>Two captains double ipa 🇳🇴</t>
  </si>
  <si>
    <t>Hjemmebrygget Pils</t>
  </si>
  <si>
    <t>1864 Cerveja de Ananas 🇵🇹</t>
  </si>
  <si>
    <t>Estrella Damm</t>
  </si>
  <si>
    <t>Oude Geuze Boon</t>
  </si>
  <si>
    <t>India pale ale american ipa 🇳🇴</t>
  </si>
  <si>
    <t>1864 Ananas</t>
  </si>
  <si>
    <t>Estrella Damm 🇪🇸</t>
  </si>
  <si>
    <t>Viking Gylltur</t>
  </si>
  <si>
    <t>Nøgne Ø Tiger tripel 🇳🇴</t>
  </si>
  <si>
    <t>Slåtte øl belgisk gardsøl 🇳🇴</t>
  </si>
  <si>
    <t>Finn Chocolate stout</t>
  </si>
  <si>
    <t>N'Ice Chouffe 🇧🇪</t>
  </si>
  <si>
    <t>Haand Fyr &amp; Flamme</t>
  </si>
  <si>
    <t>Boon Oude Geuze 🇧🇪</t>
  </si>
  <si>
    <t>Saison Dupont 🇧🇪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</si>
</sst>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0"/>
      <color rgb="FF000000"/>
      <name val="Arial"/>
      <scheme val="minor"/>
    </font>
    <font>
      <sz val="18"/>
      <color theme="1"/>
      <name val="Arial"/>
    </font>
    <font>
      <sz val="18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b/>
      <sz val="10"/>
      <color rgb="FF000000"/>
      <name val="Arial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b/>
      <sz val="14"/>
      <color theme="1"/>
      <name val="Arial"/>
      <scheme val="minor"/>
    </font>
    <font>
      <sz val="10"/>
      <name val="Arial"/>
    </font>
    <font>
      <b/>
      <sz val="11"/>
      <color rgb="FF000000"/>
      <name val="Arial"/>
      <scheme val="minor"/>
    </font>
    <font>
      <sz val="10"/>
      <color theme="1"/>
      <name val="Arial"/>
    </font>
    <font>
      <b/>
      <sz val="18"/>
      <color theme="1"/>
      <name val="Arial"/>
      <scheme val="minor"/>
    </font>
    <font>
      <sz val="10"/>
      <color rgb="FF6AA84F"/>
      <name val="Arial"/>
      <scheme val="minor"/>
    </font>
    <font>
      <sz val="10"/>
      <color rgb="FFE06666"/>
      <name val="Arial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E6FFFB"/>
        <bgColor rgb="FFE6FFFB"/>
      </patternFill>
    </fill>
    <fill>
      <patternFill patternType="solid">
        <fgColor rgb="FF93C47D"/>
        <bgColor rgb="FF93C47D"/>
      </patternFill>
    </fill>
    <fill>
      <patternFill patternType="solid">
        <fgColor rgb="FFFFFFA2"/>
        <bgColor rgb="FFFFFFA2"/>
      </patternFill>
    </fill>
    <fill>
      <patternFill patternType="solid">
        <fgColor rgb="FFCE85FF"/>
        <bgColor rgb="FFCE85FF"/>
      </patternFill>
    </fill>
    <fill>
      <patternFill patternType="solid">
        <fgColor rgb="FFFF9749"/>
        <bgColor rgb="FFFF9749"/>
      </patternFill>
    </fill>
    <fill>
      <patternFill patternType="solid">
        <fgColor rgb="FF6D9EEB"/>
        <bgColor rgb="FF6D9EEB"/>
      </patternFill>
    </fill>
    <fill>
      <patternFill patternType="solid">
        <fgColor rgb="FFCC4125"/>
        <bgColor rgb="FFCC4125"/>
      </patternFill>
    </fill>
    <fill>
      <patternFill patternType="solid">
        <fgColor rgb="FF00FFFF"/>
        <bgColor rgb="FF00FFFF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7BE69"/>
        <bgColor rgb="FFD7BE69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CD7F32"/>
        <bgColor rgb="FFCD7F32"/>
      </patternFill>
    </fill>
    <fill>
      <patternFill patternType="solid">
        <fgColor rgb="FFFFE599"/>
        <bgColor rgb="FFFFE599"/>
      </patternFill>
    </fill>
  </fills>
  <borders count="37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3" borderId="3" xfId="0" applyFont="1" applyFill="1" applyBorder="1"/>
    <xf numFmtId="0" fontId="2" fillId="2" borderId="4" xfId="0" applyFont="1" applyFill="1" applyBorder="1"/>
    <xf numFmtId="0" fontId="2" fillId="4" borderId="5" xfId="0" applyFont="1" applyFill="1" applyBorder="1"/>
    <xf numFmtId="0" fontId="2" fillId="5" borderId="5" xfId="0" applyFont="1" applyFill="1" applyBorder="1"/>
    <xf numFmtId="0" fontId="2" fillId="6" borderId="5" xfId="0" applyFont="1" applyFill="1" applyBorder="1"/>
    <xf numFmtId="0" fontId="2" fillId="7" borderId="5" xfId="0" applyFont="1" applyFill="1" applyBorder="1"/>
    <xf numFmtId="0" fontId="2" fillId="0" borderId="6" xfId="0" applyFont="1" applyBorder="1"/>
    <xf numFmtId="0" fontId="3" fillId="2" borderId="7" xfId="0" applyFont="1" applyFill="1" applyBorder="1"/>
    <xf numFmtId="0" fontId="2" fillId="0" borderId="0" xfId="0" applyFont="1" applyAlignment="1">
      <alignment horizontal="center"/>
    </xf>
    <xf numFmtId="0" fontId="4" fillId="2" borderId="8" xfId="0" applyFont="1" applyFill="1" applyBorder="1"/>
    <xf numFmtId="0" fontId="5" fillId="3" borderId="9" xfId="0" applyFont="1" applyFill="1" applyBorder="1"/>
    <xf numFmtId="0" fontId="4" fillId="2" borderId="10" xfId="0" applyFont="1" applyFill="1" applyBorder="1"/>
    <xf numFmtId="0" fontId="5" fillId="4" borderId="9" xfId="0" applyFont="1" applyFill="1" applyBorder="1"/>
    <xf numFmtId="0" fontId="5" fillId="5" borderId="9" xfId="0" applyFont="1" applyFill="1" applyBorder="1"/>
    <xf numFmtId="0" fontId="5" fillId="6" borderId="9" xfId="0" applyFont="1" applyFill="1" applyBorder="1"/>
    <xf numFmtId="0" fontId="5" fillId="7" borderId="9" xfId="0" applyFont="1" applyFill="1" applyBorder="1"/>
    <xf numFmtId="0" fontId="5" fillId="4" borderId="9" xfId="0" applyFont="1" applyFill="1" applyBorder="1" applyAlignment="1">
      <alignment horizontal="right"/>
    </xf>
    <xf numFmtId="0" fontId="5" fillId="7" borderId="9" xfId="0" applyFont="1" applyFill="1" applyBorder="1" applyAlignment="1">
      <alignment horizontal="right"/>
    </xf>
    <xf numFmtId="2" fontId="5" fillId="0" borderId="11" xfId="0" applyNumberFormat="1" applyFont="1" applyBorder="1"/>
    <xf numFmtId="0" fontId="5" fillId="0" borderId="0" xfId="0" applyFont="1"/>
    <xf numFmtId="0" fontId="2" fillId="8" borderId="5" xfId="0" applyFont="1" applyFill="1" applyBorder="1"/>
    <xf numFmtId="0" fontId="2" fillId="9" borderId="5" xfId="0" applyFont="1" applyFill="1" applyBorder="1"/>
    <xf numFmtId="0" fontId="2" fillId="10" borderId="5" xfId="0" applyFont="1" applyFill="1" applyBorder="1"/>
    <xf numFmtId="0" fontId="2" fillId="11" borderId="5" xfId="0" applyFont="1" applyFill="1" applyBorder="1"/>
    <xf numFmtId="0" fontId="2" fillId="0" borderId="0" xfId="0" applyFont="1"/>
    <xf numFmtId="0" fontId="5" fillId="8" borderId="9" xfId="0" applyFont="1" applyFill="1" applyBorder="1" applyAlignment="1">
      <alignment horizontal="right"/>
    </xf>
    <xf numFmtId="0" fontId="5" fillId="9" borderId="9" xfId="0" applyFont="1" applyFill="1" applyBorder="1" applyAlignment="1">
      <alignment horizontal="right"/>
    </xf>
    <xf numFmtId="0" fontId="5" fillId="10" borderId="9" xfId="0" applyFont="1" applyFill="1" applyBorder="1" applyAlignment="1">
      <alignment horizontal="right"/>
    </xf>
    <xf numFmtId="0" fontId="5" fillId="11" borderId="9" xfId="0" applyFont="1" applyFill="1" applyBorder="1" applyAlignment="1">
      <alignment horizontal="right"/>
    </xf>
    <xf numFmtId="0" fontId="6" fillId="0" borderId="0" xfId="0" applyFont="1"/>
    <xf numFmtId="0" fontId="5" fillId="3" borderId="12" xfId="0" applyFont="1" applyFill="1" applyBorder="1"/>
    <xf numFmtId="0" fontId="5" fillId="5" borderId="12" xfId="0" applyFont="1" applyFill="1" applyBorder="1"/>
    <xf numFmtId="0" fontId="4" fillId="0" borderId="10" xfId="0" applyFont="1" applyBorder="1"/>
    <xf numFmtId="0" fontId="4" fillId="0" borderId="2" xfId="0" applyFont="1" applyBorder="1"/>
    <xf numFmtId="0" fontId="2" fillId="3" borderId="2" xfId="0" applyFont="1" applyFill="1" applyBorder="1"/>
    <xf numFmtId="2" fontId="0" fillId="12" borderId="0" xfId="0" applyNumberFormat="1" applyFill="1"/>
    <xf numFmtId="0" fontId="5" fillId="0" borderId="13" xfId="0" applyFont="1" applyBorder="1" applyAlignment="1">
      <alignment horizontal="right"/>
    </xf>
    <xf numFmtId="0" fontId="7" fillId="2" borderId="8" xfId="0" applyFont="1" applyFill="1" applyBorder="1" applyAlignment="1">
      <alignment horizontal="left"/>
    </xf>
    <xf numFmtId="2" fontId="8" fillId="0" borderId="13" xfId="0" applyNumberFormat="1" applyFont="1" applyBorder="1"/>
    <xf numFmtId="2" fontId="0" fillId="12" borderId="13" xfId="0" applyNumberFormat="1" applyFill="1" applyBorder="1" applyAlignment="1">
      <alignment horizontal="right"/>
    </xf>
    <xf numFmtId="2" fontId="5" fillId="0" borderId="14" xfId="0" applyNumberFormat="1" applyFont="1" applyBorder="1"/>
    <xf numFmtId="0" fontId="9" fillId="13" borderId="15" xfId="0" applyFont="1" applyFill="1" applyBorder="1"/>
    <xf numFmtId="0" fontId="4" fillId="2" borderId="16" xfId="0" applyFont="1" applyFill="1" applyBorder="1"/>
    <xf numFmtId="2" fontId="9" fillId="13" borderId="0" xfId="0" applyNumberFormat="1" applyFont="1" applyFill="1"/>
    <xf numFmtId="0" fontId="5" fillId="4" borderId="12" xfId="0" applyFont="1" applyFill="1" applyBorder="1"/>
    <xf numFmtId="0" fontId="10" fillId="14" borderId="10" xfId="0" applyFont="1" applyFill="1" applyBorder="1"/>
    <xf numFmtId="0" fontId="4" fillId="0" borderId="0" xfId="0" applyFont="1"/>
    <xf numFmtId="0" fontId="5" fillId="0" borderId="13" xfId="0" applyFont="1" applyBorder="1"/>
    <xf numFmtId="0" fontId="5" fillId="13" borderId="10" xfId="0" applyFont="1" applyFill="1" applyBorder="1"/>
    <xf numFmtId="2" fontId="0" fillId="12" borderId="13" xfId="0" applyNumberFormat="1" applyFill="1" applyBorder="1"/>
    <xf numFmtId="0" fontId="10" fillId="14" borderId="0" xfId="0" applyFont="1" applyFill="1"/>
    <xf numFmtId="2" fontId="5" fillId="0" borderId="13" xfId="0" applyNumberFormat="1" applyFont="1" applyBorder="1"/>
    <xf numFmtId="0" fontId="5" fillId="13" borderId="0" xfId="0" applyFont="1" applyFill="1"/>
    <xf numFmtId="0" fontId="5" fillId="15" borderId="10" xfId="0" applyFont="1" applyFill="1" applyBorder="1"/>
    <xf numFmtId="0" fontId="12" fillId="13" borderId="19" xfId="0" applyFont="1" applyFill="1" applyBorder="1"/>
    <xf numFmtId="0" fontId="9" fillId="15" borderId="15" xfId="0" applyFont="1" applyFill="1" applyBorder="1"/>
    <xf numFmtId="2" fontId="12" fillId="15" borderId="0" xfId="0" applyNumberFormat="1" applyFont="1" applyFill="1"/>
    <xf numFmtId="0" fontId="5" fillId="15" borderId="0" xfId="0" applyFont="1" applyFill="1"/>
    <xf numFmtId="0" fontId="5" fillId="16" borderId="10" xfId="0" applyFont="1" applyFill="1" applyBorder="1"/>
    <xf numFmtId="0" fontId="12" fillId="15" borderId="19" xfId="0" applyFont="1" applyFill="1" applyBorder="1"/>
    <xf numFmtId="0" fontId="9" fillId="16" borderId="20" xfId="0" applyFont="1" applyFill="1" applyBorder="1"/>
    <xf numFmtId="0" fontId="9" fillId="13" borderId="19" xfId="0" applyFont="1" applyFill="1" applyBorder="1"/>
    <xf numFmtId="0" fontId="5" fillId="16" borderId="0" xfId="0" applyFont="1" applyFill="1"/>
    <xf numFmtId="0" fontId="12" fillId="16" borderId="23" xfId="0" applyFont="1" applyFill="1" applyBorder="1"/>
    <xf numFmtId="0" fontId="13" fillId="0" borderId="0" xfId="0" applyFont="1"/>
    <xf numFmtId="0" fontId="13" fillId="0" borderId="24" xfId="0" applyFont="1" applyBorder="1"/>
    <xf numFmtId="0" fontId="13" fillId="0" borderId="25" xfId="0" applyFont="1" applyBorder="1"/>
    <xf numFmtId="0" fontId="9" fillId="15" borderId="19" xfId="0" applyFont="1" applyFill="1" applyBorder="1"/>
    <xf numFmtId="0" fontId="13" fillId="0" borderId="26" xfId="0" applyFont="1" applyBorder="1"/>
    <xf numFmtId="0" fontId="3" fillId="0" borderId="0" xfId="0" applyFont="1"/>
    <xf numFmtId="0" fontId="9" fillId="16" borderId="23" xfId="0" applyFont="1" applyFill="1" applyBorder="1"/>
    <xf numFmtId="0" fontId="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2" fillId="7" borderId="6" xfId="0" applyFont="1" applyFill="1" applyBorder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17" borderId="30" xfId="0" applyFont="1" applyFill="1" applyBorder="1" applyAlignment="1">
      <alignment horizontal="center"/>
    </xf>
    <xf numFmtId="0" fontId="5" fillId="17" borderId="31" xfId="0" applyFont="1" applyFill="1" applyBorder="1" applyAlignment="1">
      <alignment horizontal="center"/>
    </xf>
    <xf numFmtId="0" fontId="5" fillId="17" borderId="32" xfId="0" applyFont="1" applyFill="1" applyBorder="1" applyAlignment="1">
      <alignment horizontal="center"/>
    </xf>
    <xf numFmtId="0" fontId="16" fillId="17" borderId="15" xfId="0" applyFont="1" applyFill="1" applyBorder="1" applyAlignment="1">
      <alignment horizontal="center"/>
    </xf>
    <xf numFmtId="0" fontId="5" fillId="17" borderId="0" xfId="0" applyFont="1" applyFill="1" applyAlignment="1">
      <alignment horizontal="center"/>
    </xf>
    <xf numFmtId="0" fontId="5" fillId="17" borderId="9" xfId="0" applyFont="1" applyFill="1" applyBorder="1" applyAlignment="1">
      <alignment horizontal="center"/>
    </xf>
    <xf numFmtId="0" fontId="5" fillId="17" borderId="33" xfId="0" applyFont="1" applyFill="1" applyBorder="1"/>
    <xf numFmtId="0" fontId="5" fillId="17" borderId="34" xfId="0" applyFont="1" applyFill="1" applyBorder="1" applyAlignment="1">
      <alignment horizontal="center"/>
    </xf>
    <xf numFmtId="0" fontId="5" fillId="17" borderId="35" xfId="0" applyFont="1" applyFill="1" applyBorder="1" applyAlignment="1">
      <alignment horizontal="center"/>
    </xf>
    <xf numFmtId="0" fontId="5" fillId="17" borderId="36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/>
    <xf numFmtId="0" fontId="2" fillId="9" borderId="18" xfId="0" applyFont="1" applyFill="1" applyBorder="1"/>
    <xf numFmtId="0" fontId="5" fillId="9" borderId="0" xfId="0" applyFont="1" applyFill="1"/>
    <xf numFmtId="0" fontId="2" fillId="7" borderId="18" xfId="0" applyFont="1" applyFill="1" applyBorder="1"/>
    <xf numFmtId="0" fontId="10" fillId="14" borderId="2" xfId="0" applyFont="1" applyFill="1" applyBorder="1"/>
    <xf numFmtId="0" fontId="11" fillId="0" borderId="18" xfId="0" applyFont="1" applyBorder="1"/>
    <xf numFmtId="0" fontId="11" fillId="0" borderId="6" xfId="0" applyFont="1" applyBorder="1"/>
    <xf numFmtId="2" fontId="9" fillId="13" borderId="0" xfId="0" applyNumberFormat="1" applyFont="1" applyFill="1"/>
    <xf numFmtId="0" fontId="11" fillId="0" borderId="11" xfId="0" applyFont="1" applyBorder="1"/>
    <xf numFmtId="2" fontId="9" fillId="15" borderId="0" xfId="0" applyNumberFormat="1" applyFont="1" applyFill="1"/>
    <xf numFmtId="2" fontId="9" fillId="16" borderId="21" xfId="0" applyNumberFormat="1" applyFont="1" applyFill="1" applyBorder="1"/>
    <xf numFmtId="0" fontId="11" fillId="0" borderId="22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10" fillId="14" borderId="17" xfId="0" applyFont="1" applyFill="1" applyBorder="1"/>
  </cellXfs>
  <cellStyles count="1">
    <cellStyle name="Normal" xfId="0" builtinId="0"/>
  </cellStyles>
  <dxfs count="27"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</dxfs>
  <tableStyles count="9">
    <tableStyle name="2022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2020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2021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2023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2023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2023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2024-style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2025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2025-style 2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Utvikling av gjennomsnittene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name>Trend</c:name>
            <c:spPr>
              <a:ln w="19050">
                <a:solidFill>
                  <a:srgbClr val="00FF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'2020'!$H$2:$H$25</c:f>
              <c:numCache>
                <c:formatCode>0.00</c:formatCode>
                <c:ptCount val="24"/>
                <c:pt idx="0">
                  <c:v>37.4</c:v>
                </c:pt>
                <c:pt idx="1">
                  <c:v>40.200000000000003</c:v>
                </c:pt>
                <c:pt idx="2">
                  <c:v>40</c:v>
                </c:pt>
                <c:pt idx="3">
                  <c:v>27.2</c:v>
                </c:pt>
                <c:pt idx="4">
                  <c:v>55.8</c:v>
                </c:pt>
                <c:pt idx="5">
                  <c:v>53.6</c:v>
                </c:pt>
                <c:pt idx="6">
                  <c:v>31</c:v>
                </c:pt>
                <c:pt idx="7">
                  <c:v>19.600000000000001</c:v>
                </c:pt>
                <c:pt idx="8">
                  <c:v>38</c:v>
                </c:pt>
                <c:pt idx="9">
                  <c:v>53.4</c:v>
                </c:pt>
                <c:pt idx="10">
                  <c:v>44.8</c:v>
                </c:pt>
                <c:pt idx="11">
                  <c:v>45.6</c:v>
                </c:pt>
                <c:pt idx="12">
                  <c:v>52.4</c:v>
                </c:pt>
                <c:pt idx="13">
                  <c:v>33.799999999999997</c:v>
                </c:pt>
                <c:pt idx="14">
                  <c:v>27.6</c:v>
                </c:pt>
                <c:pt idx="15">
                  <c:v>49</c:v>
                </c:pt>
                <c:pt idx="16">
                  <c:v>42.2</c:v>
                </c:pt>
                <c:pt idx="17">
                  <c:v>43.2</c:v>
                </c:pt>
                <c:pt idx="18">
                  <c:v>34.799999999999997</c:v>
                </c:pt>
                <c:pt idx="19">
                  <c:v>31.6</c:v>
                </c:pt>
                <c:pt idx="20">
                  <c:v>45.2</c:v>
                </c:pt>
                <c:pt idx="21">
                  <c:v>35.200000000000003</c:v>
                </c:pt>
                <c:pt idx="22">
                  <c:v>45.6</c:v>
                </c:pt>
                <c:pt idx="23">
                  <c:v>29.2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133-49E8-82F4-CA50A0987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14772"/>
        <c:axId val="1453618359"/>
      </c:lineChart>
      <c:catAx>
        <c:axId val="64814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Fra ØL nr. 1 til ØL nr. 24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3618359"/>
        <c:crosses val="autoZero"/>
        <c:auto val="1"/>
        <c:lblAlgn val="ctr"/>
        <c:lblOffset val="100"/>
        <c:noMultiLvlLbl val="1"/>
      </c:catAx>
      <c:valAx>
        <c:axId val="1453618359"/>
        <c:scaling>
          <c:orientation val="minMax"/>
          <c:max val="6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Score (av 69 LMAO)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8147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E6FFFB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Utvikling for hver enkelt person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38100" cmpd="sng">
              <a:solidFill>
                <a:srgbClr val="93C47D"/>
              </a:solidFill>
            </a:ln>
          </c:spPr>
          <c:marker>
            <c:symbol val="none"/>
          </c:marker>
          <c:val>
            <c:numRef>
              <c:f>'2020'!$C$2:$C$25</c:f>
              <c:numCache>
                <c:formatCode>General</c:formatCode>
                <c:ptCount val="24"/>
                <c:pt idx="0">
                  <c:v>50</c:v>
                </c:pt>
                <c:pt idx="1">
                  <c:v>48</c:v>
                </c:pt>
                <c:pt idx="2">
                  <c:v>45</c:v>
                </c:pt>
                <c:pt idx="3">
                  <c:v>20</c:v>
                </c:pt>
                <c:pt idx="4">
                  <c:v>55</c:v>
                </c:pt>
                <c:pt idx="5">
                  <c:v>60</c:v>
                </c:pt>
                <c:pt idx="6">
                  <c:v>25</c:v>
                </c:pt>
                <c:pt idx="7">
                  <c:v>15</c:v>
                </c:pt>
                <c:pt idx="8">
                  <c:v>35</c:v>
                </c:pt>
                <c:pt idx="9">
                  <c:v>64</c:v>
                </c:pt>
                <c:pt idx="10">
                  <c:v>45</c:v>
                </c:pt>
                <c:pt idx="11">
                  <c:v>50</c:v>
                </c:pt>
                <c:pt idx="12">
                  <c:v>60</c:v>
                </c:pt>
                <c:pt idx="13">
                  <c:v>50</c:v>
                </c:pt>
                <c:pt idx="14">
                  <c:v>10</c:v>
                </c:pt>
                <c:pt idx="15">
                  <c:v>50</c:v>
                </c:pt>
                <c:pt idx="16">
                  <c:v>25</c:v>
                </c:pt>
                <c:pt idx="17">
                  <c:v>35</c:v>
                </c:pt>
                <c:pt idx="18">
                  <c:v>15</c:v>
                </c:pt>
                <c:pt idx="19">
                  <c:v>30</c:v>
                </c:pt>
                <c:pt idx="20">
                  <c:v>48</c:v>
                </c:pt>
                <c:pt idx="21">
                  <c:v>35</c:v>
                </c:pt>
                <c:pt idx="22">
                  <c:v>20</c:v>
                </c:pt>
                <c:pt idx="23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E8-4A7D-B0D3-7DAD98F32D56}"/>
            </c:ext>
          </c:extLst>
        </c:ser>
        <c:ser>
          <c:idx val="1"/>
          <c:order val="1"/>
          <c:spPr>
            <a:ln w="38100" cmpd="sng">
              <a:solidFill>
                <a:srgbClr val="FFFFA2"/>
              </a:solidFill>
            </a:ln>
          </c:spPr>
          <c:marker>
            <c:symbol val="none"/>
          </c:marker>
          <c:val>
            <c:numRef>
              <c:f>'2020'!$D$2:$D$25</c:f>
              <c:numCache>
                <c:formatCode>General</c:formatCode>
                <c:ptCount val="24"/>
                <c:pt idx="0">
                  <c:v>50</c:v>
                </c:pt>
                <c:pt idx="1">
                  <c:v>47</c:v>
                </c:pt>
                <c:pt idx="2">
                  <c:v>30</c:v>
                </c:pt>
                <c:pt idx="3">
                  <c:v>24</c:v>
                </c:pt>
                <c:pt idx="4">
                  <c:v>60</c:v>
                </c:pt>
                <c:pt idx="5">
                  <c:v>63</c:v>
                </c:pt>
                <c:pt idx="6">
                  <c:v>17</c:v>
                </c:pt>
                <c:pt idx="7">
                  <c:v>22</c:v>
                </c:pt>
                <c:pt idx="8">
                  <c:v>35</c:v>
                </c:pt>
                <c:pt idx="9">
                  <c:v>63</c:v>
                </c:pt>
                <c:pt idx="10">
                  <c:v>45</c:v>
                </c:pt>
                <c:pt idx="11">
                  <c:v>46</c:v>
                </c:pt>
                <c:pt idx="12">
                  <c:v>65</c:v>
                </c:pt>
                <c:pt idx="13">
                  <c:v>50</c:v>
                </c:pt>
                <c:pt idx="14">
                  <c:v>5</c:v>
                </c:pt>
                <c:pt idx="15">
                  <c:v>45</c:v>
                </c:pt>
                <c:pt idx="16">
                  <c:v>23</c:v>
                </c:pt>
                <c:pt idx="17">
                  <c:v>33</c:v>
                </c:pt>
                <c:pt idx="18">
                  <c:v>28</c:v>
                </c:pt>
                <c:pt idx="19">
                  <c:v>25</c:v>
                </c:pt>
                <c:pt idx="20">
                  <c:v>45</c:v>
                </c:pt>
                <c:pt idx="21">
                  <c:v>50</c:v>
                </c:pt>
                <c:pt idx="22">
                  <c:v>25</c:v>
                </c:pt>
                <c:pt idx="23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FE8-4A7D-B0D3-7DAD98F32D56}"/>
            </c:ext>
          </c:extLst>
        </c:ser>
        <c:ser>
          <c:idx val="2"/>
          <c:order val="2"/>
          <c:spPr>
            <a:ln w="38100" cmpd="sng">
              <a:solidFill>
                <a:srgbClr val="CE85FF"/>
              </a:solidFill>
            </a:ln>
          </c:spPr>
          <c:marker>
            <c:symbol val="none"/>
          </c:marker>
          <c:val>
            <c:numRef>
              <c:f>'2020'!$E$2:$E$25</c:f>
              <c:numCache>
                <c:formatCode>General</c:formatCode>
                <c:ptCount val="24"/>
                <c:pt idx="0">
                  <c:v>20</c:v>
                </c:pt>
                <c:pt idx="1">
                  <c:v>28</c:v>
                </c:pt>
                <c:pt idx="2">
                  <c:v>37</c:v>
                </c:pt>
                <c:pt idx="3">
                  <c:v>20</c:v>
                </c:pt>
                <c:pt idx="4">
                  <c:v>55</c:v>
                </c:pt>
                <c:pt idx="5">
                  <c:v>59</c:v>
                </c:pt>
                <c:pt idx="6">
                  <c:v>50</c:v>
                </c:pt>
                <c:pt idx="7">
                  <c:v>23</c:v>
                </c:pt>
                <c:pt idx="8">
                  <c:v>36</c:v>
                </c:pt>
                <c:pt idx="9">
                  <c:v>48</c:v>
                </c:pt>
                <c:pt idx="10">
                  <c:v>46</c:v>
                </c:pt>
                <c:pt idx="11">
                  <c:v>45</c:v>
                </c:pt>
                <c:pt idx="12">
                  <c:v>48</c:v>
                </c:pt>
                <c:pt idx="13">
                  <c:v>18</c:v>
                </c:pt>
                <c:pt idx="14">
                  <c:v>60</c:v>
                </c:pt>
                <c:pt idx="15">
                  <c:v>48</c:v>
                </c:pt>
                <c:pt idx="16">
                  <c:v>65</c:v>
                </c:pt>
                <c:pt idx="17">
                  <c:v>44</c:v>
                </c:pt>
                <c:pt idx="18">
                  <c:v>39</c:v>
                </c:pt>
                <c:pt idx="19">
                  <c:v>30</c:v>
                </c:pt>
                <c:pt idx="20">
                  <c:v>50</c:v>
                </c:pt>
                <c:pt idx="21">
                  <c:v>29</c:v>
                </c:pt>
                <c:pt idx="22">
                  <c:v>69</c:v>
                </c:pt>
                <c:pt idx="23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FE8-4A7D-B0D3-7DAD98F32D56}"/>
            </c:ext>
          </c:extLst>
        </c:ser>
        <c:ser>
          <c:idx val="3"/>
          <c:order val="3"/>
          <c:spPr>
            <a:ln w="38100" cmpd="sng">
              <a:solidFill>
                <a:srgbClr val="FF9749"/>
              </a:solidFill>
            </a:ln>
          </c:spPr>
          <c:marker>
            <c:symbol val="none"/>
          </c:marker>
          <c:val>
            <c:numRef>
              <c:f>'2020'!$F$2:$F$25</c:f>
              <c:numCache>
                <c:formatCode>General</c:formatCode>
                <c:ptCount val="24"/>
                <c:pt idx="0">
                  <c:v>49</c:v>
                </c:pt>
                <c:pt idx="1">
                  <c:v>45</c:v>
                </c:pt>
                <c:pt idx="2">
                  <c:v>39</c:v>
                </c:pt>
                <c:pt idx="3">
                  <c:v>37</c:v>
                </c:pt>
                <c:pt idx="4">
                  <c:v>50</c:v>
                </c:pt>
                <c:pt idx="5">
                  <c:v>39</c:v>
                </c:pt>
                <c:pt idx="6">
                  <c:v>19</c:v>
                </c:pt>
                <c:pt idx="7">
                  <c:v>25</c:v>
                </c:pt>
                <c:pt idx="8">
                  <c:v>45</c:v>
                </c:pt>
                <c:pt idx="9">
                  <c:v>49</c:v>
                </c:pt>
                <c:pt idx="10">
                  <c:v>40</c:v>
                </c:pt>
                <c:pt idx="11">
                  <c:v>55</c:v>
                </c:pt>
                <c:pt idx="12">
                  <c:v>48</c:v>
                </c:pt>
                <c:pt idx="13">
                  <c:v>30</c:v>
                </c:pt>
                <c:pt idx="14">
                  <c:v>6</c:v>
                </c:pt>
                <c:pt idx="15">
                  <c:v>55</c:v>
                </c:pt>
                <c:pt idx="16">
                  <c:v>35</c:v>
                </c:pt>
                <c:pt idx="17">
                  <c:v>45</c:v>
                </c:pt>
                <c:pt idx="18">
                  <c:v>40</c:v>
                </c:pt>
                <c:pt idx="19">
                  <c:v>25</c:v>
                </c:pt>
                <c:pt idx="20">
                  <c:v>45</c:v>
                </c:pt>
                <c:pt idx="21">
                  <c:v>35</c:v>
                </c:pt>
                <c:pt idx="22">
                  <c:v>45</c:v>
                </c:pt>
                <c:pt idx="23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FE8-4A7D-B0D3-7DAD98F32D56}"/>
            </c:ext>
          </c:extLst>
        </c:ser>
        <c:ser>
          <c:idx val="4"/>
          <c:order val="4"/>
          <c:spPr>
            <a:ln w="38100" cmpd="sng">
              <a:solidFill>
                <a:srgbClr val="6D9EEB"/>
              </a:solidFill>
            </a:ln>
          </c:spPr>
          <c:marker>
            <c:symbol val="none"/>
          </c:marker>
          <c:val>
            <c:numRef>
              <c:f>'2020'!$G$2:$G$25</c:f>
              <c:numCache>
                <c:formatCode>General</c:formatCode>
                <c:ptCount val="24"/>
                <c:pt idx="0">
                  <c:v>18</c:v>
                </c:pt>
                <c:pt idx="1">
                  <c:v>33</c:v>
                </c:pt>
                <c:pt idx="2">
                  <c:v>49</c:v>
                </c:pt>
                <c:pt idx="3">
                  <c:v>35</c:v>
                </c:pt>
                <c:pt idx="4">
                  <c:v>59</c:v>
                </c:pt>
                <c:pt idx="5">
                  <c:v>47</c:v>
                </c:pt>
                <c:pt idx="6">
                  <c:v>44</c:v>
                </c:pt>
                <c:pt idx="7">
                  <c:v>13</c:v>
                </c:pt>
                <c:pt idx="8">
                  <c:v>39</c:v>
                </c:pt>
                <c:pt idx="9">
                  <c:v>43</c:v>
                </c:pt>
                <c:pt idx="10">
                  <c:v>48</c:v>
                </c:pt>
                <c:pt idx="11">
                  <c:v>32</c:v>
                </c:pt>
                <c:pt idx="12">
                  <c:v>41</c:v>
                </c:pt>
                <c:pt idx="13">
                  <c:v>21</c:v>
                </c:pt>
                <c:pt idx="14">
                  <c:v>57</c:v>
                </c:pt>
                <c:pt idx="15">
                  <c:v>47</c:v>
                </c:pt>
                <c:pt idx="16">
                  <c:v>63</c:v>
                </c:pt>
                <c:pt idx="17">
                  <c:v>59</c:v>
                </c:pt>
                <c:pt idx="18">
                  <c:v>52</c:v>
                </c:pt>
                <c:pt idx="19">
                  <c:v>48</c:v>
                </c:pt>
                <c:pt idx="20">
                  <c:v>38</c:v>
                </c:pt>
                <c:pt idx="21">
                  <c:v>27</c:v>
                </c:pt>
                <c:pt idx="22">
                  <c:v>69</c:v>
                </c:pt>
                <c:pt idx="23">
                  <c:v>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FE8-4A7D-B0D3-7DAD98F32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712502"/>
        <c:axId val="347642923"/>
      </c:lineChart>
      <c:catAx>
        <c:axId val="169712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Fra ØL nr. 1 til ØL nr. 24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7642923"/>
        <c:crosses val="autoZero"/>
        <c:auto val="1"/>
        <c:lblAlgn val="ctr"/>
        <c:lblOffset val="100"/>
        <c:noMultiLvlLbl val="1"/>
      </c:catAx>
      <c:valAx>
        <c:axId val="347642923"/>
        <c:scaling>
          <c:orientation val="minMax"/>
          <c:max val="6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Score (av 69 LMAO)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971250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E6FFFB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Utvikling av gjennomsnittene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name>Trend</c:name>
            <c:spPr>
              <a:ln w="19050">
                <a:solidFill>
                  <a:srgbClr val="00FF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'2021'!$H$2:$H$25</c:f>
              <c:numCache>
                <c:formatCode>0.00</c:formatCode>
                <c:ptCount val="24"/>
                <c:pt idx="0">
                  <c:v>56</c:v>
                </c:pt>
                <c:pt idx="1">
                  <c:v>45</c:v>
                </c:pt>
                <c:pt idx="2">
                  <c:v>48.6</c:v>
                </c:pt>
                <c:pt idx="3">
                  <c:v>39.6</c:v>
                </c:pt>
                <c:pt idx="4">
                  <c:v>40.799999999999997</c:v>
                </c:pt>
                <c:pt idx="5">
                  <c:v>35</c:v>
                </c:pt>
                <c:pt idx="6">
                  <c:v>54</c:v>
                </c:pt>
                <c:pt idx="7">
                  <c:v>62</c:v>
                </c:pt>
                <c:pt idx="8">
                  <c:v>31</c:v>
                </c:pt>
                <c:pt idx="9">
                  <c:v>40.799999999999997</c:v>
                </c:pt>
                <c:pt idx="10">
                  <c:v>28.8</c:v>
                </c:pt>
                <c:pt idx="11">
                  <c:v>37.5</c:v>
                </c:pt>
                <c:pt idx="12">
                  <c:v>47.25</c:v>
                </c:pt>
                <c:pt idx="13">
                  <c:v>45.5</c:v>
                </c:pt>
                <c:pt idx="14">
                  <c:v>53.75</c:v>
                </c:pt>
                <c:pt idx="15">
                  <c:v>54.5</c:v>
                </c:pt>
                <c:pt idx="16">
                  <c:v>52</c:v>
                </c:pt>
                <c:pt idx="17">
                  <c:v>56.75</c:v>
                </c:pt>
                <c:pt idx="18">
                  <c:v>68.333333333333329</c:v>
                </c:pt>
                <c:pt idx="19">
                  <c:v>59.333333333333336</c:v>
                </c:pt>
                <c:pt idx="20">
                  <c:v>47.333333333333336</c:v>
                </c:pt>
                <c:pt idx="21">
                  <c:v>32</c:v>
                </c:pt>
                <c:pt idx="22">
                  <c:v>50.333333333333336</c:v>
                </c:pt>
                <c:pt idx="23">
                  <c:v>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72-4E51-871F-3A4B8F08E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01020"/>
        <c:axId val="553548510"/>
      </c:lineChart>
      <c:catAx>
        <c:axId val="83101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Fra ØL nr. 1 til ØL nr. 24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3548510"/>
        <c:crosses val="autoZero"/>
        <c:auto val="1"/>
        <c:lblAlgn val="ctr"/>
        <c:lblOffset val="100"/>
        <c:noMultiLvlLbl val="1"/>
      </c:catAx>
      <c:valAx>
        <c:axId val="553548510"/>
        <c:scaling>
          <c:orientation val="minMax"/>
          <c:max val="6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Score (av 69 LMAO)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1010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E6FFFB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Utvikling for hver enkelt person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38100" cmpd="sng">
              <a:solidFill>
                <a:srgbClr val="93C47D"/>
              </a:solidFill>
            </a:ln>
          </c:spPr>
          <c:marker>
            <c:symbol val="none"/>
          </c:marker>
          <c:cat>
            <c:numRef>
              <c:f>'2021'!$C$2:$C$25</c:f>
              <c:numCache>
                <c:formatCode>General</c:formatCode>
                <c:ptCount val="24"/>
                <c:pt idx="0">
                  <c:v>53</c:v>
                </c:pt>
                <c:pt idx="1">
                  <c:v>45</c:v>
                </c:pt>
                <c:pt idx="2">
                  <c:v>60</c:v>
                </c:pt>
                <c:pt idx="3">
                  <c:v>50</c:v>
                </c:pt>
                <c:pt idx="4">
                  <c:v>43</c:v>
                </c:pt>
                <c:pt idx="5">
                  <c:v>5</c:v>
                </c:pt>
                <c:pt idx="6">
                  <c:v>56</c:v>
                </c:pt>
                <c:pt idx="7">
                  <c:v>45</c:v>
                </c:pt>
                <c:pt idx="8">
                  <c:v>43</c:v>
                </c:pt>
                <c:pt idx="9">
                  <c:v>41</c:v>
                </c:pt>
                <c:pt idx="10">
                  <c:v>38</c:v>
                </c:pt>
              </c:numCache>
            </c:numRef>
          </c:cat>
          <c:val>
            <c:numRef>
              <c:f>'2021'!$D$2:$D$25</c:f>
              <c:numCache>
                <c:formatCode>General</c:formatCode>
                <c:ptCount val="24"/>
                <c:pt idx="0">
                  <c:v>48</c:v>
                </c:pt>
                <c:pt idx="1">
                  <c:v>40</c:v>
                </c:pt>
                <c:pt idx="2">
                  <c:v>54</c:v>
                </c:pt>
                <c:pt idx="3">
                  <c:v>45</c:v>
                </c:pt>
                <c:pt idx="4">
                  <c:v>28</c:v>
                </c:pt>
                <c:pt idx="5">
                  <c:v>5</c:v>
                </c:pt>
                <c:pt idx="6">
                  <c:v>69</c:v>
                </c:pt>
                <c:pt idx="7">
                  <c:v>67</c:v>
                </c:pt>
                <c:pt idx="8">
                  <c:v>23</c:v>
                </c:pt>
                <c:pt idx="9">
                  <c:v>59</c:v>
                </c:pt>
                <c:pt idx="10">
                  <c:v>20</c:v>
                </c:pt>
                <c:pt idx="11">
                  <c:v>30</c:v>
                </c:pt>
                <c:pt idx="12">
                  <c:v>15</c:v>
                </c:pt>
                <c:pt idx="13">
                  <c:v>42</c:v>
                </c:pt>
                <c:pt idx="14">
                  <c:v>45</c:v>
                </c:pt>
                <c:pt idx="15">
                  <c:v>35</c:v>
                </c:pt>
                <c:pt idx="17">
                  <c:v>67</c:v>
                </c:pt>
                <c:pt idx="23">
                  <c:v>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4C-4EA7-B325-583106AB44EE}"/>
            </c:ext>
          </c:extLst>
        </c:ser>
        <c:ser>
          <c:idx val="1"/>
          <c:order val="1"/>
          <c:spPr>
            <a:ln w="38100" cmpd="sng">
              <a:solidFill>
                <a:srgbClr val="FFFFA2"/>
              </a:solidFill>
            </a:ln>
          </c:spPr>
          <c:marker>
            <c:symbol val="none"/>
          </c:marker>
          <c:cat>
            <c:numRef>
              <c:f>'2021'!$C$2:$C$25</c:f>
              <c:numCache>
                <c:formatCode>General</c:formatCode>
                <c:ptCount val="24"/>
                <c:pt idx="0">
                  <c:v>53</c:v>
                </c:pt>
                <c:pt idx="1">
                  <c:v>45</c:v>
                </c:pt>
                <c:pt idx="2">
                  <c:v>60</c:v>
                </c:pt>
                <c:pt idx="3">
                  <c:v>50</c:v>
                </c:pt>
                <c:pt idx="4">
                  <c:v>43</c:v>
                </c:pt>
                <c:pt idx="5">
                  <c:v>5</c:v>
                </c:pt>
                <c:pt idx="6">
                  <c:v>56</c:v>
                </c:pt>
                <c:pt idx="7">
                  <c:v>45</c:v>
                </c:pt>
                <c:pt idx="8">
                  <c:v>43</c:v>
                </c:pt>
                <c:pt idx="9">
                  <c:v>41</c:v>
                </c:pt>
                <c:pt idx="10">
                  <c:v>38</c:v>
                </c:pt>
              </c:numCache>
            </c:numRef>
          </c:cat>
          <c:val>
            <c:numRef>
              <c:f>'2021'!$E$2:$E$25</c:f>
              <c:numCache>
                <c:formatCode>General</c:formatCode>
                <c:ptCount val="24"/>
                <c:pt idx="0">
                  <c:v>55</c:v>
                </c:pt>
                <c:pt idx="1">
                  <c:v>42</c:v>
                </c:pt>
                <c:pt idx="2">
                  <c:v>45</c:v>
                </c:pt>
                <c:pt idx="3">
                  <c:v>25</c:v>
                </c:pt>
                <c:pt idx="4">
                  <c:v>42</c:v>
                </c:pt>
                <c:pt idx="5">
                  <c:v>59</c:v>
                </c:pt>
                <c:pt idx="6">
                  <c:v>52</c:v>
                </c:pt>
                <c:pt idx="7">
                  <c:v>65</c:v>
                </c:pt>
                <c:pt idx="8">
                  <c:v>30</c:v>
                </c:pt>
                <c:pt idx="9">
                  <c:v>37</c:v>
                </c:pt>
                <c:pt idx="10">
                  <c:v>25</c:v>
                </c:pt>
                <c:pt idx="11">
                  <c:v>34</c:v>
                </c:pt>
                <c:pt idx="12">
                  <c:v>57</c:v>
                </c:pt>
                <c:pt idx="13">
                  <c:v>45</c:v>
                </c:pt>
                <c:pt idx="14">
                  <c:v>67</c:v>
                </c:pt>
                <c:pt idx="15">
                  <c:v>68</c:v>
                </c:pt>
                <c:pt idx="16">
                  <c:v>56</c:v>
                </c:pt>
                <c:pt idx="17">
                  <c:v>51</c:v>
                </c:pt>
                <c:pt idx="18">
                  <c:v>69</c:v>
                </c:pt>
                <c:pt idx="19">
                  <c:v>59</c:v>
                </c:pt>
                <c:pt idx="20">
                  <c:v>37</c:v>
                </c:pt>
                <c:pt idx="21">
                  <c:v>34</c:v>
                </c:pt>
                <c:pt idx="22">
                  <c:v>53</c:v>
                </c:pt>
                <c:pt idx="23">
                  <c:v>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94C-4EA7-B325-583106AB44EE}"/>
            </c:ext>
          </c:extLst>
        </c:ser>
        <c:ser>
          <c:idx val="2"/>
          <c:order val="2"/>
          <c:spPr>
            <a:ln w="38100" cmpd="sng">
              <a:solidFill>
                <a:srgbClr val="CE85FF"/>
              </a:solidFill>
            </a:ln>
          </c:spPr>
          <c:marker>
            <c:symbol val="none"/>
          </c:marker>
          <c:cat>
            <c:numRef>
              <c:f>'2021'!$C$2:$C$25</c:f>
              <c:numCache>
                <c:formatCode>General</c:formatCode>
                <c:ptCount val="24"/>
                <c:pt idx="0">
                  <c:v>53</c:v>
                </c:pt>
                <c:pt idx="1">
                  <c:v>45</c:v>
                </c:pt>
                <c:pt idx="2">
                  <c:v>60</c:v>
                </c:pt>
                <c:pt idx="3">
                  <c:v>50</c:v>
                </c:pt>
                <c:pt idx="4">
                  <c:v>43</c:v>
                </c:pt>
                <c:pt idx="5">
                  <c:v>5</c:v>
                </c:pt>
                <c:pt idx="6">
                  <c:v>56</c:v>
                </c:pt>
                <c:pt idx="7">
                  <c:v>45</c:v>
                </c:pt>
                <c:pt idx="8">
                  <c:v>43</c:v>
                </c:pt>
                <c:pt idx="9">
                  <c:v>41</c:v>
                </c:pt>
                <c:pt idx="10">
                  <c:v>38</c:v>
                </c:pt>
              </c:numCache>
            </c:numRef>
          </c:cat>
          <c:val>
            <c:numRef>
              <c:f>'2021'!$F$2:$F$25</c:f>
              <c:numCache>
                <c:formatCode>General</c:formatCode>
                <c:ptCount val="24"/>
                <c:pt idx="0">
                  <c:v>65</c:v>
                </c:pt>
                <c:pt idx="1">
                  <c:v>51</c:v>
                </c:pt>
                <c:pt idx="2">
                  <c:v>45</c:v>
                </c:pt>
                <c:pt idx="3">
                  <c:v>55</c:v>
                </c:pt>
                <c:pt idx="4">
                  <c:v>39</c:v>
                </c:pt>
                <c:pt idx="5">
                  <c:v>50</c:v>
                </c:pt>
                <c:pt idx="6">
                  <c:v>35</c:v>
                </c:pt>
                <c:pt idx="7">
                  <c:v>64</c:v>
                </c:pt>
                <c:pt idx="8">
                  <c:v>25</c:v>
                </c:pt>
                <c:pt idx="9">
                  <c:v>34</c:v>
                </c:pt>
                <c:pt idx="10">
                  <c:v>26</c:v>
                </c:pt>
                <c:pt idx="11">
                  <c:v>40</c:v>
                </c:pt>
                <c:pt idx="12">
                  <c:v>55</c:v>
                </c:pt>
                <c:pt idx="13">
                  <c:v>60</c:v>
                </c:pt>
                <c:pt idx="14">
                  <c:v>45</c:v>
                </c:pt>
                <c:pt idx="15">
                  <c:v>68</c:v>
                </c:pt>
                <c:pt idx="16">
                  <c:v>47</c:v>
                </c:pt>
                <c:pt idx="17">
                  <c:v>45</c:v>
                </c:pt>
                <c:pt idx="18">
                  <c:v>69</c:v>
                </c:pt>
                <c:pt idx="19">
                  <c:v>58</c:v>
                </c:pt>
                <c:pt idx="20">
                  <c:v>49</c:v>
                </c:pt>
                <c:pt idx="21">
                  <c:v>25</c:v>
                </c:pt>
                <c:pt idx="22">
                  <c:v>55</c:v>
                </c:pt>
                <c:pt idx="23">
                  <c:v>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94C-4EA7-B325-583106AB44EE}"/>
            </c:ext>
          </c:extLst>
        </c:ser>
        <c:ser>
          <c:idx val="3"/>
          <c:order val="3"/>
          <c:spPr>
            <a:ln w="38100" cmpd="sng">
              <a:solidFill>
                <a:srgbClr val="FF9749"/>
              </a:solidFill>
            </a:ln>
          </c:spPr>
          <c:marker>
            <c:symbol val="none"/>
          </c:marker>
          <c:cat>
            <c:numRef>
              <c:f>'2021'!$C$2:$C$25</c:f>
              <c:numCache>
                <c:formatCode>General</c:formatCode>
                <c:ptCount val="24"/>
                <c:pt idx="0">
                  <c:v>53</c:v>
                </c:pt>
                <c:pt idx="1">
                  <c:v>45</c:v>
                </c:pt>
                <c:pt idx="2">
                  <c:v>60</c:v>
                </c:pt>
                <c:pt idx="3">
                  <c:v>50</c:v>
                </c:pt>
                <c:pt idx="4">
                  <c:v>43</c:v>
                </c:pt>
                <c:pt idx="5">
                  <c:v>5</c:v>
                </c:pt>
                <c:pt idx="6">
                  <c:v>56</c:v>
                </c:pt>
                <c:pt idx="7">
                  <c:v>45</c:v>
                </c:pt>
                <c:pt idx="8">
                  <c:v>43</c:v>
                </c:pt>
                <c:pt idx="9">
                  <c:v>41</c:v>
                </c:pt>
                <c:pt idx="10">
                  <c:v>38</c:v>
                </c:pt>
              </c:numCache>
            </c:numRef>
          </c:cat>
          <c:val>
            <c:numRef>
              <c:f>'2021'!$G$2:$G$25</c:f>
              <c:numCache>
                <c:formatCode>General</c:formatCode>
                <c:ptCount val="24"/>
                <c:pt idx="0">
                  <c:v>59</c:v>
                </c:pt>
                <c:pt idx="1">
                  <c:v>47</c:v>
                </c:pt>
                <c:pt idx="2">
                  <c:v>39</c:v>
                </c:pt>
                <c:pt idx="3">
                  <c:v>23</c:v>
                </c:pt>
                <c:pt idx="4">
                  <c:v>52</c:v>
                </c:pt>
                <c:pt idx="5">
                  <c:v>56</c:v>
                </c:pt>
                <c:pt idx="6">
                  <c:v>58</c:v>
                </c:pt>
                <c:pt idx="7">
                  <c:v>69</c:v>
                </c:pt>
                <c:pt idx="8">
                  <c:v>34</c:v>
                </c:pt>
                <c:pt idx="9">
                  <c:v>33</c:v>
                </c:pt>
                <c:pt idx="10">
                  <c:v>35</c:v>
                </c:pt>
                <c:pt idx="11">
                  <c:v>46</c:v>
                </c:pt>
                <c:pt idx="12">
                  <c:v>62</c:v>
                </c:pt>
                <c:pt idx="13">
                  <c:v>35</c:v>
                </c:pt>
                <c:pt idx="14">
                  <c:v>58</c:v>
                </c:pt>
                <c:pt idx="15">
                  <c:v>47</c:v>
                </c:pt>
                <c:pt idx="16">
                  <c:v>53</c:v>
                </c:pt>
                <c:pt idx="17">
                  <c:v>64</c:v>
                </c:pt>
                <c:pt idx="18">
                  <c:v>67</c:v>
                </c:pt>
                <c:pt idx="19">
                  <c:v>61</c:v>
                </c:pt>
                <c:pt idx="20">
                  <c:v>56</c:v>
                </c:pt>
                <c:pt idx="21">
                  <c:v>37</c:v>
                </c:pt>
                <c:pt idx="22">
                  <c:v>43</c:v>
                </c:pt>
                <c:pt idx="23">
                  <c:v>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94C-4EA7-B325-583106AB4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14773"/>
        <c:axId val="1046754932"/>
      </c:lineChart>
      <c:catAx>
        <c:axId val="191114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Fra ØL nr. 1 til ØL nr. 24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6754932"/>
        <c:crosses val="autoZero"/>
        <c:auto val="1"/>
        <c:lblAlgn val="ctr"/>
        <c:lblOffset val="100"/>
        <c:noMultiLvlLbl val="1"/>
      </c:catAx>
      <c:valAx>
        <c:axId val="1046754932"/>
        <c:scaling>
          <c:orientation val="minMax"/>
          <c:max val="6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 (av 69 LMAO)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1147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E6FFFB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Utvikling av gjennomsnittene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name>Trend</c:name>
            <c:spPr>
              <a:ln w="19050">
                <a:solidFill>
                  <a:srgbClr val="00FF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'2022'!$H$2:$H$26</c:f>
              <c:numCache>
                <c:formatCode>0.00</c:formatCode>
                <c:ptCount val="25"/>
                <c:pt idx="0">
                  <c:v>42.25</c:v>
                </c:pt>
                <c:pt idx="1">
                  <c:v>45.5</c:v>
                </c:pt>
                <c:pt idx="2">
                  <c:v>39.25</c:v>
                </c:pt>
                <c:pt idx="3">
                  <c:v>31</c:v>
                </c:pt>
                <c:pt idx="4">
                  <c:v>46.25</c:v>
                </c:pt>
                <c:pt idx="5">
                  <c:v>45.75</c:v>
                </c:pt>
                <c:pt idx="6">
                  <c:v>49.25</c:v>
                </c:pt>
                <c:pt idx="7">
                  <c:v>65</c:v>
                </c:pt>
                <c:pt idx="8">
                  <c:v>27.5</c:v>
                </c:pt>
                <c:pt idx="9">
                  <c:v>43.25</c:v>
                </c:pt>
                <c:pt idx="10">
                  <c:v>18.5</c:v>
                </c:pt>
                <c:pt idx="11">
                  <c:v>25.5</c:v>
                </c:pt>
                <c:pt idx="12">
                  <c:v>45.5</c:v>
                </c:pt>
                <c:pt idx="13">
                  <c:v>64.75</c:v>
                </c:pt>
                <c:pt idx="14">
                  <c:v>53.5</c:v>
                </c:pt>
                <c:pt idx="15">
                  <c:v>51.25</c:v>
                </c:pt>
                <c:pt idx="16">
                  <c:v>53</c:v>
                </c:pt>
                <c:pt idx="17">
                  <c:v>53</c:v>
                </c:pt>
                <c:pt idx="18">
                  <c:v>48.666666666666664</c:v>
                </c:pt>
                <c:pt idx="19">
                  <c:v>55</c:v>
                </c:pt>
                <c:pt idx="20">
                  <c:v>39</c:v>
                </c:pt>
                <c:pt idx="21">
                  <c:v>60.666666666666664</c:v>
                </c:pt>
                <c:pt idx="22">
                  <c:v>42.666666666666664</c:v>
                </c:pt>
                <c:pt idx="23">
                  <c:v>49.666666666666664</c:v>
                </c:pt>
                <c:pt idx="24">
                  <c:v>45.654057017543856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AAB-4AC2-9BDE-CC33A71D3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713852"/>
        <c:axId val="1353344782"/>
      </c:lineChart>
      <c:catAx>
        <c:axId val="88713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Fra ØL nr. 1 til ØL nr. 24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53344782"/>
        <c:crosses val="autoZero"/>
        <c:auto val="1"/>
        <c:lblAlgn val="ctr"/>
        <c:lblOffset val="100"/>
        <c:noMultiLvlLbl val="1"/>
      </c:catAx>
      <c:valAx>
        <c:axId val="1353344782"/>
        <c:scaling>
          <c:orientation val="minMax"/>
          <c:max val="6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Score (av 69 LMAO)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871385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E6FFFB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Utvikling for hver enkelt person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38100" cmpd="sng">
              <a:solidFill>
                <a:srgbClr val="93C47D"/>
              </a:solidFill>
            </a:ln>
          </c:spPr>
          <c:marker>
            <c:symbol val="none"/>
          </c:marker>
          <c:val>
            <c:numRef>
              <c:f>'2022'!$C$2:$C$25</c:f>
              <c:numCache>
                <c:formatCode>General</c:formatCode>
                <c:ptCount val="24"/>
                <c:pt idx="0">
                  <c:v>48</c:v>
                </c:pt>
                <c:pt idx="1">
                  <c:v>59</c:v>
                </c:pt>
                <c:pt idx="2">
                  <c:v>32</c:v>
                </c:pt>
                <c:pt idx="3">
                  <c:v>26</c:v>
                </c:pt>
                <c:pt idx="4">
                  <c:v>42</c:v>
                </c:pt>
                <c:pt idx="5">
                  <c:v>27</c:v>
                </c:pt>
                <c:pt idx="6">
                  <c:v>36</c:v>
                </c:pt>
                <c:pt idx="7">
                  <c:v>68</c:v>
                </c:pt>
                <c:pt idx="8">
                  <c:v>26</c:v>
                </c:pt>
                <c:pt idx="9">
                  <c:v>41</c:v>
                </c:pt>
                <c:pt idx="10">
                  <c:v>13</c:v>
                </c:pt>
                <c:pt idx="11">
                  <c:v>17</c:v>
                </c:pt>
                <c:pt idx="12">
                  <c:v>55</c:v>
                </c:pt>
                <c:pt idx="13">
                  <c:v>52</c:v>
                </c:pt>
                <c:pt idx="14">
                  <c:v>60</c:v>
                </c:pt>
                <c:pt idx="15">
                  <c:v>44</c:v>
                </c:pt>
                <c:pt idx="16">
                  <c:v>53</c:v>
                </c:pt>
                <c:pt idx="17">
                  <c:v>62</c:v>
                </c:pt>
                <c:pt idx="18">
                  <c:v>53</c:v>
                </c:pt>
                <c:pt idx="19">
                  <c:v>56</c:v>
                </c:pt>
                <c:pt idx="20">
                  <c:v>45</c:v>
                </c:pt>
                <c:pt idx="21">
                  <c:v>56</c:v>
                </c:pt>
                <c:pt idx="22">
                  <c:v>45</c:v>
                </c:pt>
                <c:pt idx="23">
                  <c:v>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1E-4B9B-976B-98FEF9218361}"/>
            </c:ext>
          </c:extLst>
        </c:ser>
        <c:ser>
          <c:idx val="1"/>
          <c:order val="1"/>
          <c:spPr>
            <a:ln w="38100" cmpd="sng">
              <a:solidFill>
                <a:srgbClr val="CE85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'2022'!$E$2:$E$25</c:f>
              <c:numCache>
                <c:formatCode>General</c:formatCode>
                <c:ptCount val="24"/>
                <c:pt idx="0">
                  <c:v>48</c:v>
                </c:pt>
                <c:pt idx="1">
                  <c:v>40</c:v>
                </c:pt>
                <c:pt idx="2">
                  <c:v>35</c:v>
                </c:pt>
                <c:pt idx="3">
                  <c:v>45</c:v>
                </c:pt>
                <c:pt idx="4">
                  <c:v>49</c:v>
                </c:pt>
                <c:pt idx="5">
                  <c:v>50</c:v>
                </c:pt>
                <c:pt idx="6">
                  <c:v>53</c:v>
                </c:pt>
                <c:pt idx="7">
                  <c:v>66</c:v>
                </c:pt>
                <c:pt idx="8">
                  <c:v>23</c:v>
                </c:pt>
                <c:pt idx="9">
                  <c:v>38</c:v>
                </c:pt>
                <c:pt idx="10">
                  <c:v>8</c:v>
                </c:pt>
                <c:pt idx="11">
                  <c:v>30</c:v>
                </c:pt>
                <c:pt idx="12">
                  <c:v>58</c:v>
                </c:pt>
                <c:pt idx="13">
                  <c:v>69</c:v>
                </c:pt>
                <c:pt idx="14">
                  <c:v>53</c:v>
                </c:pt>
                <c:pt idx="15">
                  <c:v>56</c:v>
                </c:pt>
                <c:pt idx="16">
                  <c:v>61</c:v>
                </c:pt>
                <c:pt idx="17">
                  <c:v>51</c:v>
                </c:pt>
                <c:pt idx="18">
                  <c:v>48</c:v>
                </c:pt>
                <c:pt idx="19">
                  <c:v>50</c:v>
                </c:pt>
                <c:pt idx="20">
                  <c:v>39</c:v>
                </c:pt>
                <c:pt idx="21">
                  <c:v>62</c:v>
                </c:pt>
                <c:pt idx="22">
                  <c:v>48</c:v>
                </c:pt>
                <c:pt idx="2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1E-4B9B-976B-98FEF9218361}"/>
            </c:ext>
          </c:extLst>
        </c:ser>
        <c:ser>
          <c:idx val="2"/>
          <c:order val="2"/>
          <c:spPr>
            <a:ln w="38100" cmpd="sng">
              <a:solidFill>
                <a:srgbClr val="F7981D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'2022'!$F$2:$F$25</c:f>
              <c:numCache>
                <c:formatCode>General</c:formatCode>
                <c:ptCount val="24"/>
                <c:pt idx="0">
                  <c:v>45</c:v>
                </c:pt>
                <c:pt idx="1">
                  <c:v>48</c:v>
                </c:pt>
                <c:pt idx="2">
                  <c:v>43</c:v>
                </c:pt>
                <c:pt idx="3">
                  <c:v>4</c:v>
                </c:pt>
                <c:pt idx="4">
                  <c:v>50</c:v>
                </c:pt>
                <c:pt idx="5">
                  <c:v>49</c:v>
                </c:pt>
                <c:pt idx="6">
                  <c:v>53</c:v>
                </c:pt>
                <c:pt idx="7">
                  <c:v>64</c:v>
                </c:pt>
                <c:pt idx="8">
                  <c:v>9</c:v>
                </c:pt>
                <c:pt idx="9">
                  <c:v>41</c:v>
                </c:pt>
                <c:pt idx="10">
                  <c:v>2</c:v>
                </c:pt>
                <c:pt idx="11">
                  <c:v>19</c:v>
                </c:pt>
                <c:pt idx="12">
                  <c:v>40</c:v>
                </c:pt>
                <c:pt idx="13">
                  <c:v>69</c:v>
                </c:pt>
                <c:pt idx="14">
                  <c:v>47</c:v>
                </c:pt>
                <c:pt idx="15">
                  <c:v>47</c:v>
                </c:pt>
                <c:pt idx="16">
                  <c:v>59</c:v>
                </c:pt>
                <c:pt idx="17">
                  <c:v>61</c:v>
                </c:pt>
                <c:pt idx="18">
                  <c:v>45</c:v>
                </c:pt>
                <c:pt idx="19">
                  <c:v>55</c:v>
                </c:pt>
                <c:pt idx="20">
                  <c:v>33</c:v>
                </c:pt>
                <c:pt idx="21">
                  <c:v>64</c:v>
                </c:pt>
                <c:pt idx="22">
                  <c:v>35</c:v>
                </c:pt>
                <c:pt idx="23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01E-4B9B-976B-98FEF9218361}"/>
            </c:ext>
          </c:extLst>
        </c:ser>
        <c:ser>
          <c:idx val="3"/>
          <c:order val="3"/>
          <c:spPr>
            <a:ln w="38100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'2022'!$G$2:$G$26</c:f>
              <c:numCache>
                <c:formatCode>General</c:formatCode>
                <c:ptCount val="25"/>
                <c:pt idx="0">
                  <c:v>28</c:v>
                </c:pt>
                <c:pt idx="1">
                  <c:v>35</c:v>
                </c:pt>
                <c:pt idx="2">
                  <c:v>47</c:v>
                </c:pt>
                <c:pt idx="3">
                  <c:v>49</c:v>
                </c:pt>
                <c:pt idx="4">
                  <c:v>44</c:v>
                </c:pt>
                <c:pt idx="5">
                  <c:v>57</c:v>
                </c:pt>
                <c:pt idx="6">
                  <c:v>55</c:v>
                </c:pt>
                <c:pt idx="7">
                  <c:v>62</c:v>
                </c:pt>
                <c:pt idx="8">
                  <c:v>52</c:v>
                </c:pt>
                <c:pt idx="9">
                  <c:v>53</c:v>
                </c:pt>
                <c:pt idx="10">
                  <c:v>51</c:v>
                </c:pt>
                <c:pt idx="11">
                  <c:v>36</c:v>
                </c:pt>
                <c:pt idx="12">
                  <c:v>29</c:v>
                </c:pt>
                <c:pt idx="13">
                  <c:v>69</c:v>
                </c:pt>
                <c:pt idx="14">
                  <c:v>54</c:v>
                </c:pt>
                <c:pt idx="15">
                  <c:v>58</c:v>
                </c:pt>
                <c:pt idx="16">
                  <c:v>39</c:v>
                </c:pt>
                <c:pt idx="17">
                  <c:v>38</c:v>
                </c:pt>
                <c:pt idx="18">
                  <c:v>0</c:v>
                </c:pt>
                <c:pt idx="19">
                  <c:v>59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 formatCode="0.00">
                  <c:v>48.157894736842103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01E-4B9B-976B-98FEF9218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5490847"/>
        <c:axId val="1892973081"/>
      </c:lineChart>
      <c:catAx>
        <c:axId val="1015490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Fra ØL nr. 1 til ØL nr. 24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2973081"/>
        <c:crosses val="autoZero"/>
        <c:auto val="1"/>
        <c:lblAlgn val="ctr"/>
        <c:lblOffset val="100"/>
        <c:noMultiLvlLbl val="1"/>
      </c:catAx>
      <c:valAx>
        <c:axId val="1892973081"/>
        <c:scaling>
          <c:orientation val="minMax"/>
          <c:max val="6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Score (av 69 LMAO)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54908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E6FFFB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Utvikling av gjennomsnittene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name>Trend</c:name>
            <c:spPr>
              <a:ln w="19050">
                <a:solidFill>
                  <a:srgbClr val="00FF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'2023'!$L$2:$L$25</c:f>
              <c:numCache>
                <c:formatCode>0.00</c:formatCode>
                <c:ptCount val="24"/>
                <c:pt idx="0">
                  <c:v>44.222222222222221</c:v>
                </c:pt>
                <c:pt idx="1">
                  <c:v>44.222222222222221</c:v>
                </c:pt>
                <c:pt idx="2">
                  <c:v>48</c:v>
                </c:pt>
                <c:pt idx="3">
                  <c:v>35.333333333333336</c:v>
                </c:pt>
                <c:pt idx="4">
                  <c:v>38.888888888888886</c:v>
                </c:pt>
                <c:pt idx="5">
                  <c:v>31.666666666666668</c:v>
                </c:pt>
                <c:pt idx="6">
                  <c:v>40.555555555555557</c:v>
                </c:pt>
                <c:pt idx="7">
                  <c:v>13.444444444444445</c:v>
                </c:pt>
                <c:pt idx="8">
                  <c:v>41.888888888888886</c:v>
                </c:pt>
                <c:pt idx="9">
                  <c:v>41.222222222222221</c:v>
                </c:pt>
                <c:pt idx="10">
                  <c:v>42.888888888888886</c:v>
                </c:pt>
                <c:pt idx="11">
                  <c:v>51</c:v>
                </c:pt>
                <c:pt idx="12">
                  <c:v>44.333333333333336</c:v>
                </c:pt>
                <c:pt idx="13">
                  <c:v>40.555555555555557</c:v>
                </c:pt>
                <c:pt idx="14">
                  <c:v>30.222222222222221</c:v>
                </c:pt>
                <c:pt idx="15">
                  <c:v>34.222222222222221</c:v>
                </c:pt>
                <c:pt idx="16">
                  <c:v>46.555555555555557</c:v>
                </c:pt>
                <c:pt idx="17">
                  <c:v>34</c:v>
                </c:pt>
                <c:pt idx="18">
                  <c:v>54.555555555555557</c:v>
                </c:pt>
                <c:pt idx="19">
                  <c:v>42.888888888888886</c:v>
                </c:pt>
                <c:pt idx="20">
                  <c:v>54.666666666666664</c:v>
                </c:pt>
                <c:pt idx="21">
                  <c:v>56.111111111111114</c:v>
                </c:pt>
                <c:pt idx="22">
                  <c:v>47.555555555555557</c:v>
                </c:pt>
                <c:pt idx="23">
                  <c:v>13.333333333333334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15C-4746-9210-78CD9CD56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278889"/>
        <c:axId val="1193217620"/>
      </c:lineChart>
      <c:catAx>
        <c:axId val="1682278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Fra ØL nr. 1 til ØL nr. 24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3217620"/>
        <c:crosses val="autoZero"/>
        <c:auto val="1"/>
        <c:lblAlgn val="ctr"/>
        <c:lblOffset val="100"/>
        <c:noMultiLvlLbl val="1"/>
      </c:catAx>
      <c:valAx>
        <c:axId val="1193217620"/>
        <c:scaling>
          <c:orientation val="minMax"/>
          <c:max val="6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Score (av 69 LMAO)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227888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E6FFFB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Utvikling for hver enkelt person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38100" cmpd="sng">
              <a:solidFill>
                <a:srgbClr val="93C47D"/>
              </a:solidFill>
            </a:ln>
          </c:spPr>
          <c:marker>
            <c:symbol val="none"/>
          </c:marker>
          <c:val>
            <c:numRef>
              <c:f>'2023'!$C$2:$C$25</c:f>
              <c:numCache>
                <c:formatCode>General</c:formatCode>
                <c:ptCount val="24"/>
                <c:pt idx="0">
                  <c:v>55</c:v>
                </c:pt>
                <c:pt idx="1">
                  <c:v>60</c:v>
                </c:pt>
                <c:pt idx="2">
                  <c:v>53</c:v>
                </c:pt>
                <c:pt idx="3">
                  <c:v>35</c:v>
                </c:pt>
                <c:pt idx="4">
                  <c:v>50</c:v>
                </c:pt>
                <c:pt idx="5">
                  <c:v>36</c:v>
                </c:pt>
                <c:pt idx="6">
                  <c:v>43</c:v>
                </c:pt>
                <c:pt idx="7">
                  <c:v>14</c:v>
                </c:pt>
                <c:pt idx="8">
                  <c:v>43</c:v>
                </c:pt>
                <c:pt idx="9">
                  <c:v>45</c:v>
                </c:pt>
                <c:pt idx="10">
                  <c:v>51</c:v>
                </c:pt>
                <c:pt idx="11">
                  <c:v>43</c:v>
                </c:pt>
                <c:pt idx="12">
                  <c:v>45</c:v>
                </c:pt>
                <c:pt idx="13">
                  <c:v>48</c:v>
                </c:pt>
                <c:pt idx="14">
                  <c:v>42</c:v>
                </c:pt>
                <c:pt idx="15">
                  <c:v>23</c:v>
                </c:pt>
                <c:pt idx="16">
                  <c:v>46</c:v>
                </c:pt>
                <c:pt idx="17">
                  <c:v>20</c:v>
                </c:pt>
                <c:pt idx="18">
                  <c:v>63</c:v>
                </c:pt>
                <c:pt idx="19">
                  <c:v>40</c:v>
                </c:pt>
                <c:pt idx="20">
                  <c:v>53</c:v>
                </c:pt>
                <c:pt idx="21">
                  <c:v>50</c:v>
                </c:pt>
                <c:pt idx="22">
                  <c:v>43</c:v>
                </c:pt>
                <c:pt idx="23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E7-4B6E-9174-4686F66102B0}"/>
            </c:ext>
          </c:extLst>
        </c:ser>
        <c:ser>
          <c:idx val="1"/>
          <c:order val="1"/>
          <c:spPr>
            <a:ln w="38100" cmpd="sng">
              <a:solidFill>
                <a:srgbClr val="CE85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'2023'!$E$2:$E$25</c:f>
              <c:numCache>
                <c:formatCode>General</c:formatCode>
                <c:ptCount val="24"/>
                <c:pt idx="0">
                  <c:v>45</c:v>
                </c:pt>
                <c:pt idx="1">
                  <c:v>28</c:v>
                </c:pt>
                <c:pt idx="2">
                  <c:v>35</c:v>
                </c:pt>
                <c:pt idx="3">
                  <c:v>34</c:v>
                </c:pt>
                <c:pt idx="4">
                  <c:v>40</c:v>
                </c:pt>
                <c:pt idx="5">
                  <c:v>20</c:v>
                </c:pt>
                <c:pt idx="6">
                  <c:v>50</c:v>
                </c:pt>
                <c:pt idx="7">
                  <c:v>7</c:v>
                </c:pt>
                <c:pt idx="8">
                  <c:v>41</c:v>
                </c:pt>
                <c:pt idx="9">
                  <c:v>62</c:v>
                </c:pt>
                <c:pt idx="10">
                  <c:v>39</c:v>
                </c:pt>
                <c:pt idx="11">
                  <c:v>61</c:v>
                </c:pt>
                <c:pt idx="12">
                  <c:v>27</c:v>
                </c:pt>
                <c:pt idx="13">
                  <c:v>47</c:v>
                </c:pt>
                <c:pt idx="14">
                  <c:v>18</c:v>
                </c:pt>
                <c:pt idx="15">
                  <c:v>53</c:v>
                </c:pt>
                <c:pt idx="16">
                  <c:v>49</c:v>
                </c:pt>
                <c:pt idx="17">
                  <c:v>59</c:v>
                </c:pt>
                <c:pt idx="18">
                  <c:v>46</c:v>
                </c:pt>
                <c:pt idx="19">
                  <c:v>60</c:v>
                </c:pt>
                <c:pt idx="20">
                  <c:v>69</c:v>
                </c:pt>
                <c:pt idx="21">
                  <c:v>27</c:v>
                </c:pt>
                <c:pt idx="22">
                  <c:v>37</c:v>
                </c:pt>
                <c:pt idx="23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AE7-4B6E-9174-4686F66102B0}"/>
            </c:ext>
          </c:extLst>
        </c:ser>
        <c:ser>
          <c:idx val="2"/>
          <c:order val="2"/>
          <c:spPr>
            <a:ln w="38100" cmpd="sng">
              <a:solidFill>
                <a:srgbClr val="F7981D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'2023'!$F$2:$F$25</c:f>
              <c:numCache>
                <c:formatCode>General</c:formatCode>
                <c:ptCount val="24"/>
                <c:pt idx="0">
                  <c:v>62</c:v>
                </c:pt>
                <c:pt idx="1">
                  <c:v>59</c:v>
                </c:pt>
                <c:pt idx="2">
                  <c:v>66</c:v>
                </c:pt>
                <c:pt idx="3">
                  <c:v>35</c:v>
                </c:pt>
                <c:pt idx="4">
                  <c:v>30</c:v>
                </c:pt>
                <c:pt idx="5">
                  <c:v>50</c:v>
                </c:pt>
                <c:pt idx="6">
                  <c:v>20</c:v>
                </c:pt>
                <c:pt idx="7">
                  <c:v>9</c:v>
                </c:pt>
                <c:pt idx="8">
                  <c:v>45</c:v>
                </c:pt>
                <c:pt idx="9">
                  <c:v>60</c:v>
                </c:pt>
                <c:pt idx="10">
                  <c:v>26</c:v>
                </c:pt>
                <c:pt idx="11">
                  <c:v>65</c:v>
                </c:pt>
                <c:pt idx="12">
                  <c:v>28</c:v>
                </c:pt>
                <c:pt idx="13">
                  <c:v>25</c:v>
                </c:pt>
                <c:pt idx="14">
                  <c:v>23</c:v>
                </c:pt>
                <c:pt idx="15">
                  <c:v>13</c:v>
                </c:pt>
                <c:pt idx="16">
                  <c:v>36</c:v>
                </c:pt>
                <c:pt idx="17">
                  <c:v>20</c:v>
                </c:pt>
                <c:pt idx="18">
                  <c:v>67</c:v>
                </c:pt>
                <c:pt idx="19">
                  <c:v>59</c:v>
                </c:pt>
                <c:pt idx="20">
                  <c:v>69</c:v>
                </c:pt>
                <c:pt idx="21">
                  <c:v>61</c:v>
                </c:pt>
                <c:pt idx="22">
                  <c:v>56</c:v>
                </c:pt>
                <c:pt idx="23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AE7-4B6E-9174-4686F66102B0}"/>
            </c:ext>
          </c:extLst>
        </c:ser>
        <c:ser>
          <c:idx val="3"/>
          <c:order val="3"/>
          <c:spPr>
            <a:ln w="38100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'2023'!$G$2:$G$26</c:f>
              <c:numCache>
                <c:formatCode>General</c:formatCode>
                <c:ptCount val="25"/>
                <c:pt idx="0">
                  <c:v>31</c:v>
                </c:pt>
                <c:pt idx="1">
                  <c:v>52</c:v>
                </c:pt>
                <c:pt idx="2">
                  <c:v>37</c:v>
                </c:pt>
                <c:pt idx="3">
                  <c:v>26</c:v>
                </c:pt>
                <c:pt idx="4">
                  <c:v>51</c:v>
                </c:pt>
                <c:pt idx="5">
                  <c:v>27</c:v>
                </c:pt>
                <c:pt idx="6">
                  <c:v>63</c:v>
                </c:pt>
                <c:pt idx="7">
                  <c:v>13</c:v>
                </c:pt>
                <c:pt idx="8">
                  <c:v>37</c:v>
                </c:pt>
                <c:pt idx="9">
                  <c:v>63</c:v>
                </c:pt>
                <c:pt idx="10">
                  <c:v>50</c:v>
                </c:pt>
                <c:pt idx="11">
                  <c:v>54</c:v>
                </c:pt>
                <c:pt idx="12">
                  <c:v>44</c:v>
                </c:pt>
                <c:pt idx="13">
                  <c:v>49</c:v>
                </c:pt>
                <c:pt idx="14">
                  <c:v>33</c:v>
                </c:pt>
                <c:pt idx="15">
                  <c:v>48</c:v>
                </c:pt>
                <c:pt idx="16">
                  <c:v>61</c:v>
                </c:pt>
                <c:pt idx="17">
                  <c:v>57</c:v>
                </c:pt>
                <c:pt idx="18">
                  <c:v>69</c:v>
                </c:pt>
                <c:pt idx="19">
                  <c:v>56</c:v>
                </c:pt>
                <c:pt idx="20">
                  <c:v>69</c:v>
                </c:pt>
                <c:pt idx="21">
                  <c:v>65</c:v>
                </c:pt>
                <c:pt idx="22">
                  <c:v>43</c:v>
                </c:pt>
                <c:pt idx="23">
                  <c:v>16</c:v>
                </c:pt>
                <c:pt idx="24" formatCode="0.00">
                  <c:v>46.416666666666664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AE7-4B6E-9174-4686F66102B0}"/>
            </c:ext>
          </c:extLst>
        </c:ser>
        <c:ser>
          <c:idx val="4"/>
          <c:order val="4"/>
          <c:spPr>
            <a:ln w="38100" cmpd="sng">
              <a:solidFill>
                <a:srgbClr val="6D9EEB"/>
              </a:solidFill>
            </a:ln>
          </c:spPr>
          <c:marker>
            <c:symbol val="none"/>
          </c:marker>
          <c:val>
            <c:numRef>
              <c:f>'2023'!$H$2:$H$25</c:f>
              <c:numCache>
                <c:formatCode>General</c:formatCode>
                <c:ptCount val="24"/>
                <c:pt idx="0">
                  <c:v>39</c:v>
                </c:pt>
                <c:pt idx="1">
                  <c:v>29</c:v>
                </c:pt>
                <c:pt idx="2">
                  <c:v>42</c:v>
                </c:pt>
                <c:pt idx="3">
                  <c:v>24</c:v>
                </c:pt>
                <c:pt idx="4">
                  <c:v>29</c:v>
                </c:pt>
                <c:pt idx="5">
                  <c:v>16</c:v>
                </c:pt>
                <c:pt idx="6">
                  <c:v>19</c:v>
                </c:pt>
                <c:pt idx="7">
                  <c:v>14</c:v>
                </c:pt>
                <c:pt idx="8">
                  <c:v>36</c:v>
                </c:pt>
                <c:pt idx="9">
                  <c:v>11</c:v>
                </c:pt>
                <c:pt idx="10">
                  <c:v>52</c:v>
                </c:pt>
                <c:pt idx="11">
                  <c:v>49</c:v>
                </c:pt>
                <c:pt idx="12">
                  <c:v>51</c:v>
                </c:pt>
                <c:pt idx="13">
                  <c:v>42</c:v>
                </c:pt>
                <c:pt idx="14">
                  <c:v>55</c:v>
                </c:pt>
                <c:pt idx="15">
                  <c:v>36</c:v>
                </c:pt>
                <c:pt idx="16">
                  <c:v>51</c:v>
                </c:pt>
                <c:pt idx="17">
                  <c:v>27</c:v>
                </c:pt>
                <c:pt idx="18">
                  <c:v>26</c:v>
                </c:pt>
                <c:pt idx="19">
                  <c:v>12</c:v>
                </c:pt>
                <c:pt idx="20">
                  <c:v>13</c:v>
                </c:pt>
                <c:pt idx="21">
                  <c:v>53</c:v>
                </c:pt>
                <c:pt idx="22">
                  <c:v>51</c:v>
                </c:pt>
                <c:pt idx="23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AE7-4B6E-9174-4686F66102B0}"/>
            </c:ext>
          </c:extLst>
        </c:ser>
        <c:ser>
          <c:idx val="5"/>
          <c:order val="5"/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'2023'!$I$2:$I$25</c:f>
              <c:numCache>
                <c:formatCode>General</c:formatCode>
                <c:ptCount val="24"/>
                <c:pt idx="0">
                  <c:v>32</c:v>
                </c:pt>
                <c:pt idx="1">
                  <c:v>63</c:v>
                </c:pt>
                <c:pt idx="2">
                  <c:v>55</c:v>
                </c:pt>
                <c:pt idx="3">
                  <c:v>20</c:v>
                </c:pt>
                <c:pt idx="4">
                  <c:v>69</c:v>
                </c:pt>
                <c:pt idx="5">
                  <c:v>15</c:v>
                </c:pt>
                <c:pt idx="6">
                  <c:v>65</c:v>
                </c:pt>
                <c:pt idx="7">
                  <c:v>12</c:v>
                </c:pt>
                <c:pt idx="8">
                  <c:v>55</c:v>
                </c:pt>
                <c:pt idx="9">
                  <c:v>69</c:v>
                </c:pt>
                <c:pt idx="10">
                  <c:v>50</c:v>
                </c:pt>
                <c:pt idx="11">
                  <c:v>62</c:v>
                </c:pt>
                <c:pt idx="12">
                  <c:v>56</c:v>
                </c:pt>
                <c:pt idx="13">
                  <c:v>45</c:v>
                </c:pt>
                <c:pt idx="14">
                  <c:v>23</c:v>
                </c:pt>
                <c:pt idx="15">
                  <c:v>45</c:v>
                </c:pt>
                <c:pt idx="16">
                  <c:v>42</c:v>
                </c:pt>
                <c:pt idx="17">
                  <c:v>16</c:v>
                </c:pt>
                <c:pt idx="18">
                  <c:v>69</c:v>
                </c:pt>
                <c:pt idx="19">
                  <c:v>65</c:v>
                </c:pt>
                <c:pt idx="20">
                  <c:v>43</c:v>
                </c:pt>
                <c:pt idx="21">
                  <c:v>60</c:v>
                </c:pt>
                <c:pt idx="22">
                  <c:v>30</c:v>
                </c:pt>
                <c:pt idx="23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AE7-4B6E-9174-4686F66102B0}"/>
            </c:ext>
          </c:extLst>
        </c:ser>
        <c:ser>
          <c:idx val="6"/>
          <c:order val="6"/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val>
            <c:numRef>
              <c:f>'2023'!$J$2:$J$25</c:f>
              <c:numCache>
                <c:formatCode>General</c:formatCode>
                <c:ptCount val="24"/>
                <c:pt idx="0">
                  <c:v>47</c:v>
                </c:pt>
                <c:pt idx="1">
                  <c:v>48</c:v>
                </c:pt>
                <c:pt idx="2">
                  <c:v>39</c:v>
                </c:pt>
                <c:pt idx="3">
                  <c:v>28</c:v>
                </c:pt>
                <c:pt idx="4">
                  <c:v>22</c:v>
                </c:pt>
                <c:pt idx="5">
                  <c:v>62</c:v>
                </c:pt>
                <c:pt idx="6">
                  <c:v>33</c:v>
                </c:pt>
                <c:pt idx="7">
                  <c:v>15</c:v>
                </c:pt>
                <c:pt idx="8">
                  <c:v>31</c:v>
                </c:pt>
                <c:pt idx="9">
                  <c:v>42</c:v>
                </c:pt>
                <c:pt idx="10">
                  <c:v>30</c:v>
                </c:pt>
                <c:pt idx="11">
                  <c:v>27</c:v>
                </c:pt>
                <c:pt idx="12">
                  <c:v>49</c:v>
                </c:pt>
                <c:pt idx="13">
                  <c:v>29</c:v>
                </c:pt>
                <c:pt idx="14">
                  <c:v>6</c:v>
                </c:pt>
                <c:pt idx="15">
                  <c:v>37</c:v>
                </c:pt>
                <c:pt idx="16">
                  <c:v>51</c:v>
                </c:pt>
                <c:pt idx="17">
                  <c:v>47</c:v>
                </c:pt>
                <c:pt idx="18">
                  <c:v>64</c:v>
                </c:pt>
                <c:pt idx="19">
                  <c:v>37</c:v>
                </c:pt>
                <c:pt idx="20">
                  <c:v>61</c:v>
                </c:pt>
                <c:pt idx="21">
                  <c:v>66</c:v>
                </c:pt>
                <c:pt idx="22">
                  <c:v>53</c:v>
                </c:pt>
                <c:pt idx="23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AE7-4B6E-9174-4686F66102B0}"/>
            </c:ext>
          </c:extLst>
        </c:ser>
        <c:ser>
          <c:idx val="7"/>
          <c:order val="7"/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val>
            <c:numRef>
              <c:f>'2023'!$K$2:$K$25</c:f>
              <c:numCache>
                <c:formatCode>General</c:formatCode>
                <c:ptCount val="24"/>
                <c:pt idx="0">
                  <c:v>40</c:v>
                </c:pt>
                <c:pt idx="1">
                  <c:v>25</c:v>
                </c:pt>
                <c:pt idx="2">
                  <c:v>52</c:v>
                </c:pt>
                <c:pt idx="3">
                  <c:v>56</c:v>
                </c:pt>
                <c:pt idx="4">
                  <c:v>35</c:v>
                </c:pt>
                <c:pt idx="5">
                  <c:v>44</c:v>
                </c:pt>
                <c:pt idx="6">
                  <c:v>57</c:v>
                </c:pt>
                <c:pt idx="7">
                  <c:v>12</c:v>
                </c:pt>
                <c:pt idx="8">
                  <c:v>38</c:v>
                </c:pt>
                <c:pt idx="9">
                  <c:v>10</c:v>
                </c:pt>
                <c:pt idx="10">
                  <c:v>46</c:v>
                </c:pt>
                <c:pt idx="11">
                  <c:v>58</c:v>
                </c:pt>
                <c:pt idx="12">
                  <c:v>46</c:v>
                </c:pt>
                <c:pt idx="13">
                  <c:v>47</c:v>
                </c:pt>
                <c:pt idx="14">
                  <c:v>44</c:v>
                </c:pt>
                <c:pt idx="15">
                  <c:v>41</c:v>
                </c:pt>
                <c:pt idx="16">
                  <c:v>54</c:v>
                </c:pt>
                <c:pt idx="17">
                  <c:v>20</c:v>
                </c:pt>
                <c:pt idx="18">
                  <c:v>45</c:v>
                </c:pt>
                <c:pt idx="19">
                  <c:v>27</c:v>
                </c:pt>
                <c:pt idx="20">
                  <c:v>69</c:v>
                </c:pt>
                <c:pt idx="21">
                  <c:v>65</c:v>
                </c:pt>
                <c:pt idx="22">
                  <c:v>55</c:v>
                </c:pt>
                <c:pt idx="23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AE7-4B6E-9174-4686F6610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9254486"/>
        <c:axId val="1943665260"/>
      </c:lineChart>
      <c:catAx>
        <c:axId val="939254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Fra ØL nr. 1 til ØL nr. 24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3665260"/>
        <c:crosses val="autoZero"/>
        <c:auto val="1"/>
        <c:lblAlgn val="ctr"/>
        <c:lblOffset val="100"/>
        <c:noMultiLvlLbl val="1"/>
      </c:catAx>
      <c:valAx>
        <c:axId val="1943665260"/>
        <c:scaling>
          <c:orientation val="minMax"/>
          <c:max val="6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 (av 69 LMAO)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392544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E6FFFB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Utvikling av gjennomsnittene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name>Trend</c:name>
            <c:spPr>
              <a:ln w="19050">
                <a:solidFill>
                  <a:srgbClr val="00FF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'2024'!$I$2:$I$25</c:f>
              <c:numCache>
                <c:formatCode>0.00</c:formatCode>
                <c:ptCount val="24"/>
                <c:pt idx="0">
                  <c:v>49</c:v>
                </c:pt>
                <c:pt idx="1">
                  <c:v>41.2</c:v>
                </c:pt>
                <c:pt idx="2">
                  <c:v>39.6</c:v>
                </c:pt>
                <c:pt idx="3">
                  <c:v>36.799999999999997</c:v>
                </c:pt>
                <c:pt idx="4">
                  <c:v>33.6</c:v>
                </c:pt>
                <c:pt idx="5">
                  <c:v>41.2</c:v>
                </c:pt>
                <c:pt idx="6">
                  <c:v>32</c:v>
                </c:pt>
                <c:pt idx="7">
                  <c:v>34.200000000000003</c:v>
                </c:pt>
                <c:pt idx="8">
                  <c:v>39.6</c:v>
                </c:pt>
                <c:pt idx="9">
                  <c:v>41.8</c:v>
                </c:pt>
                <c:pt idx="10">
                  <c:v>31.8</c:v>
                </c:pt>
                <c:pt idx="11">
                  <c:v>0</c:v>
                </c:pt>
                <c:pt idx="12">
                  <c:v>55.2</c:v>
                </c:pt>
                <c:pt idx="13">
                  <c:v>22</c:v>
                </c:pt>
                <c:pt idx="14">
                  <c:v>62.6</c:v>
                </c:pt>
                <c:pt idx="15">
                  <c:v>0</c:v>
                </c:pt>
                <c:pt idx="16">
                  <c:v>41.4</c:v>
                </c:pt>
                <c:pt idx="17">
                  <c:v>25.2</c:v>
                </c:pt>
                <c:pt idx="18">
                  <c:v>32.4</c:v>
                </c:pt>
                <c:pt idx="19">
                  <c:v>17.399999999999999</c:v>
                </c:pt>
                <c:pt idx="20">
                  <c:v>28.4</c:v>
                </c:pt>
                <c:pt idx="21">
                  <c:v>19.600000000000001</c:v>
                </c:pt>
                <c:pt idx="22">
                  <c:v>40.799999999999997</c:v>
                </c:pt>
                <c:pt idx="23">
                  <c:v>30.4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8C3-44CC-B324-7324651EE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9605354"/>
        <c:axId val="2118019866"/>
      </c:lineChart>
      <c:catAx>
        <c:axId val="1929605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Fra ØL nr. 1 til ØL nr. 24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8019866"/>
        <c:crosses val="autoZero"/>
        <c:auto val="1"/>
        <c:lblAlgn val="ctr"/>
        <c:lblOffset val="100"/>
        <c:noMultiLvlLbl val="1"/>
      </c:catAx>
      <c:valAx>
        <c:axId val="2118019866"/>
        <c:scaling>
          <c:orientation val="minMax"/>
          <c:max val="6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Score (av 69 LMAO)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960535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E6FFFB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Utvikling for hver enkelt person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38100" cmpd="sng">
              <a:solidFill>
                <a:srgbClr val="93C47D"/>
              </a:solidFill>
            </a:ln>
          </c:spPr>
          <c:marker>
            <c:symbol val="none"/>
          </c:marker>
          <c:val>
            <c:numRef>
              <c:f>'2024'!$C$2:$C$25</c:f>
              <c:numCache>
                <c:formatCode>General</c:formatCode>
                <c:ptCount val="24"/>
                <c:pt idx="0">
                  <c:v>54</c:v>
                </c:pt>
                <c:pt idx="1">
                  <c:v>22</c:v>
                </c:pt>
                <c:pt idx="2">
                  <c:v>44</c:v>
                </c:pt>
                <c:pt idx="3">
                  <c:v>29</c:v>
                </c:pt>
                <c:pt idx="4">
                  <c:v>25</c:v>
                </c:pt>
                <c:pt idx="5">
                  <c:v>16</c:v>
                </c:pt>
                <c:pt idx="6">
                  <c:v>53</c:v>
                </c:pt>
                <c:pt idx="7">
                  <c:v>45</c:v>
                </c:pt>
                <c:pt idx="8">
                  <c:v>53</c:v>
                </c:pt>
                <c:pt idx="9">
                  <c:v>23</c:v>
                </c:pt>
                <c:pt idx="10">
                  <c:v>21</c:v>
                </c:pt>
                <c:pt idx="11">
                  <c:v>14</c:v>
                </c:pt>
                <c:pt idx="12">
                  <c:v>65</c:v>
                </c:pt>
                <c:pt idx="13">
                  <c:v>16</c:v>
                </c:pt>
                <c:pt idx="14">
                  <c:v>69</c:v>
                </c:pt>
                <c:pt idx="15">
                  <c:v>48</c:v>
                </c:pt>
                <c:pt idx="16">
                  <c:v>34</c:v>
                </c:pt>
                <c:pt idx="17">
                  <c:v>39</c:v>
                </c:pt>
                <c:pt idx="18">
                  <c:v>47</c:v>
                </c:pt>
                <c:pt idx="19">
                  <c:v>18</c:v>
                </c:pt>
                <c:pt idx="20">
                  <c:v>31</c:v>
                </c:pt>
                <c:pt idx="21">
                  <c:v>5</c:v>
                </c:pt>
                <c:pt idx="22">
                  <c:v>50</c:v>
                </c:pt>
                <c:pt idx="23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16-4BBA-9FCE-EC673664AEAE}"/>
            </c:ext>
          </c:extLst>
        </c:ser>
        <c:ser>
          <c:idx val="1"/>
          <c:order val="1"/>
          <c:spPr>
            <a:ln w="38100" cmpd="sng">
              <a:solidFill>
                <a:srgbClr val="CE85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'2024'!$E$2:$E$25</c:f>
              <c:numCache>
                <c:formatCode>General</c:formatCode>
                <c:ptCount val="24"/>
                <c:pt idx="0">
                  <c:v>49</c:v>
                </c:pt>
                <c:pt idx="1">
                  <c:v>45</c:v>
                </c:pt>
                <c:pt idx="2">
                  <c:v>35</c:v>
                </c:pt>
                <c:pt idx="3">
                  <c:v>39</c:v>
                </c:pt>
                <c:pt idx="4">
                  <c:v>45</c:v>
                </c:pt>
                <c:pt idx="5">
                  <c:v>54</c:v>
                </c:pt>
                <c:pt idx="6">
                  <c:v>30</c:v>
                </c:pt>
                <c:pt idx="7">
                  <c:v>23</c:v>
                </c:pt>
                <c:pt idx="8">
                  <c:v>27</c:v>
                </c:pt>
                <c:pt idx="9">
                  <c:v>47</c:v>
                </c:pt>
                <c:pt idx="10">
                  <c:v>50</c:v>
                </c:pt>
                <c:pt idx="11">
                  <c:v>24</c:v>
                </c:pt>
                <c:pt idx="12">
                  <c:v>53</c:v>
                </c:pt>
                <c:pt idx="13">
                  <c:v>37</c:v>
                </c:pt>
                <c:pt idx="14">
                  <c:v>69</c:v>
                </c:pt>
                <c:pt idx="15">
                  <c:v>9</c:v>
                </c:pt>
                <c:pt idx="16">
                  <c:v>60</c:v>
                </c:pt>
                <c:pt idx="17">
                  <c:v>7</c:v>
                </c:pt>
                <c:pt idx="18">
                  <c:v>50</c:v>
                </c:pt>
                <c:pt idx="19">
                  <c:v>2</c:v>
                </c:pt>
                <c:pt idx="20">
                  <c:v>19</c:v>
                </c:pt>
                <c:pt idx="21">
                  <c:v>38</c:v>
                </c:pt>
                <c:pt idx="22">
                  <c:v>43</c:v>
                </c:pt>
                <c:pt idx="23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16-4BBA-9FCE-EC673664AEAE}"/>
            </c:ext>
          </c:extLst>
        </c:ser>
        <c:ser>
          <c:idx val="2"/>
          <c:order val="2"/>
          <c:spPr>
            <a:ln w="38100" cmpd="sng">
              <a:solidFill>
                <a:srgbClr val="F7981D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'2024'!$F$2:$F$25</c:f>
              <c:numCache>
                <c:formatCode>General</c:formatCode>
                <c:ptCount val="2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C16-4BBA-9FCE-EC673664A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5589536"/>
        <c:axId val="1967989070"/>
      </c:lineChart>
      <c:catAx>
        <c:axId val="114558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Fra ØL nr. 1 til ØL nr. 24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7989070"/>
        <c:crosses val="autoZero"/>
        <c:auto val="1"/>
        <c:lblAlgn val="ctr"/>
        <c:lblOffset val="100"/>
        <c:noMultiLvlLbl val="1"/>
      </c:catAx>
      <c:valAx>
        <c:axId val="1967989070"/>
        <c:scaling>
          <c:orientation val="minMax"/>
          <c:max val="6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 (av 69 LMAO)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455895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E6FFFB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Utvikling av gjennomsnittene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name>Trend</c:name>
            <c:spPr>
              <a:ln w="19050">
                <a:solidFill>
                  <a:srgbClr val="00FF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'2025'!$H$2:$H$25</c:f>
              <c:numCache>
                <c:formatCode>0.00</c:formatCode>
                <c:ptCount val="24"/>
                <c:pt idx="0">
                  <c:v>47.8</c:v>
                </c:pt>
                <c:pt idx="1">
                  <c:v>16.8</c:v>
                </c:pt>
                <c:pt idx="2">
                  <c:v>48.4</c:v>
                </c:pt>
                <c:pt idx="3">
                  <c:v>46.2</c:v>
                </c:pt>
                <c:pt idx="4">
                  <c:v>56</c:v>
                </c:pt>
                <c:pt idx="5">
                  <c:v>38.6</c:v>
                </c:pt>
                <c:pt idx="6">
                  <c:v>48.6</c:v>
                </c:pt>
                <c:pt idx="7">
                  <c:v>34</c:v>
                </c:pt>
                <c:pt idx="8">
                  <c:v>45.4</c:v>
                </c:pt>
                <c:pt idx="9">
                  <c:v>59.6</c:v>
                </c:pt>
                <c:pt idx="10">
                  <c:v>50</c:v>
                </c:pt>
                <c:pt idx="11">
                  <c:v>28.8</c:v>
                </c:pt>
                <c:pt idx="12">
                  <c:v>35.799999999999997</c:v>
                </c:pt>
                <c:pt idx="13">
                  <c:v>20</c:v>
                </c:pt>
                <c:pt idx="14">
                  <c:v>0</c:v>
                </c:pt>
                <c:pt idx="15">
                  <c:v>21.8</c:v>
                </c:pt>
                <c:pt idx="16">
                  <c:v>45.4</c:v>
                </c:pt>
                <c:pt idx="17">
                  <c:v>36.6</c:v>
                </c:pt>
                <c:pt idx="18">
                  <c:v>45.6</c:v>
                </c:pt>
                <c:pt idx="19">
                  <c:v>44.6</c:v>
                </c:pt>
                <c:pt idx="20">
                  <c:v>40</c:v>
                </c:pt>
                <c:pt idx="21">
                  <c:v>0</c:v>
                </c:pt>
                <c:pt idx="22">
                  <c:v>35.799999999999997</c:v>
                </c:pt>
                <c:pt idx="23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762-4DA6-92FB-E2A79C213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978709"/>
        <c:axId val="216301340"/>
      </c:lineChart>
      <c:catAx>
        <c:axId val="192978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Fra ØL nr. 1 til ØL nr. 24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6301340"/>
        <c:crosses val="autoZero"/>
        <c:auto val="1"/>
        <c:lblAlgn val="ctr"/>
        <c:lblOffset val="100"/>
        <c:noMultiLvlLbl val="1"/>
      </c:catAx>
      <c:valAx>
        <c:axId val="216301340"/>
        <c:scaling>
          <c:orientation val="minMax"/>
          <c:max val="6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Score (av 69 LMAO)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97870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E6FFFB"/>
    </a:solid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Utvikling for hver enkelt person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38100" cmpd="sng">
              <a:solidFill>
                <a:srgbClr val="93C47D"/>
              </a:solidFill>
            </a:ln>
          </c:spPr>
          <c:marker>
            <c:symbol val="none"/>
          </c:marker>
          <c:val>
            <c:numRef>
              <c:f>'2025'!$C$2:$C$25</c:f>
              <c:numCache>
                <c:formatCode>General</c:formatCode>
                <c:ptCount val="24"/>
                <c:pt idx="0">
                  <c:v>60</c:v>
                </c:pt>
                <c:pt idx="1">
                  <c:v>2</c:v>
                </c:pt>
                <c:pt idx="2">
                  <c:v>57</c:v>
                </c:pt>
                <c:pt idx="3">
                  <c:v>65</c:v>
                </c:pt>
                <c:pt idx="4">
                  <c:v>65</c:v>
                </c:pt>
                <c:pt idx="5">
                  <c:v>26</c:v>
                </c:pt>
                <c:pt idx="6">
                  <c:v>48</c:v>
                </c:pt>
                <c:pt idx="7">
                  <c:v>44</c:v>
                </c:pt>
                <c:pt idx="8">
                  <c:v>65</c:v>
                </c:pt>
                <c:pt idx="9">
                  <c:v>69</c:v>
                </c:pt>
                <c:pt idx="10">
                  <c:v>47</c:v>
                </c:pt>
                <c:pt idx="11">
                  <c:v>20</c:v>
                </c:pt>
                <c:pt idx="12">
                  <c:v>14</c:v>
                </c:pt>
                <c:pt idx="13">
                  <c:v>11</c:v>
                </c:pt>
                <c:pt idx="14">
                  <c:v>0</c:v>
                </c:pt>
                <c:pt idx="15">
                  <c:v>11</c:v>
                </c:pt>
                <c:pt idx="16">
                  <c:v>41</c:v>
                </c:pt>
                <c:pt idx="17">
                  <c:v>35</c:v>
                </c:pt>
                <c:pt idx="18">
                  <c:v>58</c:v>
                </c:pt>
                <c:pt idx="19">
                  <c:v>43</c:v>
                </c:pt>
                <c:pt idx="20">
                  <c:v>35</c:v>
                </c:pt>
                <c:pt idx="21">
                  <c:v>0</c:v>
                </c:pt>
                <c:pt idx="22">
                  <c:v>46</c:v>
                </c:pt>
                <c:pt idx="23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9F-443F-960D-130EB0DB7E2C}"/>
            </c:ext>
          </c:extLst>
        </c:ser>
        <c:ser>
          <c:idx val="1"/>
          <c:order val="1"/>
          <c:spPr>
            <a:ln w="38100" cmpd="sng">
              <a:solidFill>
                <a:srgbClr val="CE85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'2025'!$E$2:$E$25</c:f>
              <c:numCache>
                <c:formatCode>General</c:formatCode>
                <c:ptCount val="24"/>
                <c:pt idx="0">
                  <c:v>23</c:v>
                </c:pt>
                <c:pt idx="1">
                  <c:v>32</c:v>
                </c:pt>
                <c:pt idx="2">
                  <c:v>38</c:v>
                </c:pt>
                <c:pt idx="3">
                  <c:v>39</c:v>
                </c:pt>
                <c:pt idx="4">
                  <c:v>69</c:v>
                </c:pt>
                <c:pt idx="5">
                  <c:v>45</c:v>
                </c:pt>
                <c:pt idx="6">
                  <c:v>43</c:v>
                </c:pt>
                <c:pt idx="7">
                  <c:v>35</c:v>
                </c:pt>
                <c:pt idx="8">
                  <c:v>23</c:v>
                </c:pt>
                <c:pt idx="9">
                  <c:v>60</c:v>
                </c:pt>
                <c:pt idx="10">
                  <c:v>53</c:v>
                </c:pt>
                <c:pt idx="11">
                  <c:v>45</c:v>
                </c:pt>
                <c:pt idx="12">
                  <c:v>12</c:v>
                </c:pt>
                <c:pt idx="13">
                  <c:v>34</c:v>
                </c:pt>
                <c:pt idx="14">
                  <c:v>19</c:v>
                </c:pt>
                <c:pt idx="15">
                  <c:v>23</c:v>
                </c:pt>
                <c:pt idx="16">
                  <c:v>44</c:v>
                </c:pt>
                <c:pt idx="17">
                  <c:v>41</c:v>
                </c:pt>
                <c:pt idx="18">
                  <c:v>50</c:v>
                </c:pt>
                <c:pt idx="19">
                  <c:v>42</c:v>
                </c:pt>
                <c:pt idx="20">
                  <c:v>53</c:v>
                </c:pt>
                <c:pt idx="21">
                  <c:v>54</c:v>
                </c:pt>
                <c:pt idx="22">
                  <c:v>29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9F-443F-960D-130EB0DB7E2C}"/>
            </c:ext>
          </c:extLst>
        </c:ser>
        <c:ser>
          <c:idx val="2"/>
          <c:order val="2"/>
          <c:spPr>
            <a:ln w="38100" cmpd="sng">
              <a:solidFill>
                <a:srgbClr val="F7981D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'2025'!$F$2:$F$25</c:f>
              <c:numCache>
                <c:formatCode>General</c:formatCode>
                <c:ptCount val="24"/>
                <c:pt idx="0">
                  <c:v>63</c:v>
                </c:pt>
                <c:pt idx="1">
                  <c:v>6</c:v>
                </c:pt>
                <c:pt idx="2">
                  <c:v>69</c:v>
                </c:pt>
                <c:pt idx="3">
                  <c:v>50</c:v>
                </c:pt>
                <c:pt idx="4">
                  <c:v>59</c:v>
                </c:pt>
                <c:pt idx="5">
                  <c:v>37</c:v>
                </c:pt>
                <c:pt idx="6">
                  <c:v>63</c:v>
                </c:pt>
                <c:pt idx="7">
                  <c:v>29</c:v>
                </c:pt>
                <c:pt idx="8">
                  <c:v>61</c:v>
                </c:pt>
                <c:pt idx="9">
                  <c:v>67</c:v>
                </c:pt>
                <c:pt idx="10">
                  <c:v>53</c:v>
                </c:pt>
                <c:pt idx="11">
                  <c:v>15</c:v>
                </c:pt>
                <c:pt idx="12">
                  <c:v>64</c:v>
                </c:pt>
                <c:pt idx="13">
                  <c:v>3</c:v>
                </c:pt>
                <c:pt idx="14">
                  <c:v>30</c:v>
                </c:pt>
                <c:pt idx="15">
                  <c:v>20</c:v>
                </c:pt>
                <c:pt idx="16">
                  <c:v>45</c:v>
                </c:pt>
                <c:pt idx="17">
                  <c:v>31</c:v>
                </c:pt>
                <c:pt idx="18">
                  <c:v>47</c:v>
                </c:pt>
                <c:pt idx="19">
                  <c:v>49</c:v>
                </c:pt>
                <c:pt idx="20">
                  <c:v>29</c:v>
                </c:pt>
                <c:pt idx="21">
                  <c:v>46</c:v>
                </c:pt>
                <c:pt idx="22">
                  <c:v>35</c:v>
                </c:pt>
                <c:pt idx="23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D9F-443F-960D-130EB0DB7E2C}"/>
            </c:ext>
          </c:extLst>
        </c:ser>
        <c:ser>
          <c:idx val="3"/>
          <c:order val="3"/>
          <c:spPr>
            <a:ln w="38100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'2025'!$G$2:$G$26</c:f>
              <c:numCache>
                <c:formatCode>General</c:formatCode>
                <c:ptCount val="25"/>
                <c:pt idx="0">
                  <c:v>28</c:v>
                </c:pt>
                <c:pt idx="1">
                  <c:v>29</c:v>
                </c:pt>
                <c:pt idx="2">
                  <c:v>33</c:v>
                </c:pt>
                <c:pt idx="3">
                  <c:v>35</c:v>
                </c:pt>
                <c:pt idx="4">
                  <c:v>69</c:v>
                </c:pt>
                <c:pt idx="5">
                  <c:v>51</c:v>
                </c:pt>
                <c:pt idx="6">
                  <c:v>49</c:v>
                </c:pt>
                <c:pt idx="7">
                  <c:v>30</c:v>
                </c:pt>
                <c:pt idx="8">
                  <c:v>21</c:v>
                </c:pt>
                <c:pt idx="9">
                  <c:v>57</c:v>
                </c:pt>
                <c:pt idx="10">
                  <c:v>55</c:v>
                </c:pt>
                <c:pt idx="11">
                  <c:v>47</c:v>
                </c:pt>
                <c:pt idx="12">
                  <c:v>52</c:v>
                </c:pt>
                <c:pt idx="13">
                  <c:v>39</c:v>
                </c:pt>
                <c:pt idx="14">
                  <c:v>43</c:v>
                </c:pt>
                <c:pt idx="15">
                  <c:v>38</c:v>
                </c:pt>
                <c:pt idx="16">
                  <c:v>52</c:v>
                </c:pt>
                <c:pt idx="17">
                  <c:v>47</c:v>
                </c:pt>
                <c:pt idx="18">
                  <c:v>50</c:v>
                </c:pt>
                <c:pt idx="19">
                  <c:v>61</c:v>
                </c:pt>
                <c:pt idx="20">
                  <c:v>45</c:v>
                </c:pt>
                <c:pt idx="21">
                  <c:v>56</c:v>
                </c:pt>
                <c:pt idx="22">
                  <c:v>25</c:v>
                </c:pt>
                <c:pt idx="23">
                  <c:v>29</c:v>
                </c:pt>
                <c:pt idx="24" formatCode="0.00">
                  <c:v>43.375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D9F-443F-960D-130EB0DB7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659761"/>
        <c:axId val="1138534811"/>
      </c:lineChart>
      <c:catAx>
        <c:axId val="365659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Fra ØL nr. 1 til ØL nr. 24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8534811"/>
        <c:crosses val="autoZero"/>
        <c:auto val="1"/>
        <c:lblAlgn val="ctr"/>
        <c:lblOffset val="100"/>
        <c:noMultiLvlLbl val="1"/>
      </c:catAx>
      <c:valAx>
        <c:axId val="1138534811"/>
        <c:scaling>
          <c:orientation val="minMax"/>
          <c:max val="6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 (av 69 LMAO)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565976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E6FFFB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41</xdr:row>
      <xdr:rowOff>0</xdr:rowOff>
    </xdr:from>
    <xdr:ext cx="14039850" cy="4133850"/>
    <xdr:graphicFrame macro="">
      <xdr:nvGraphicFramePr>
        <xdr:cNvPr id="2" name="Chart 2" title="Diagra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67</xdr:row>
      <xdr:rowOff>161925</xdr:rowOff>
    </xdr:from>
    <xdr:ext cx="14039850" cy="5610225"/>
    <xdr:graphicFrame macro="">
      <xdr:nvGraphicFramePr>
        <xdr:cNvPr id="6" name="Chart 6" title="Diagram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40</xdr:row>
      <xdr:rowOff>142875</xdr:rowOff>
    </xdr:from>
    <xdr:ext cx="13039725" cy="3838575"/>
    <xdr:graphicFrame macro="">
      <xdr:nvGraphicFramePr>
        <xdr:cNvPr id="4" name="Chart 4" title="Diagram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1076325</xdr:colOff>
      <xdr:row>67</xdr:row>
      <xdr:rowOff>190500</xdr:rowOff>
    </xdr:from>
    <xdr:ext cx="13068300" cy="5086350"/>
    <xdr:graphicFrame macro="">
      <xdr:nvGraphicFramePr>
        <xdr:cNvPr id="7" name="Chart 7" title="Diagram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40</xdr:row>
      <xdr:rowOff>190500</xdr:rowOff>
    </xdr:from>
    <xdr:ext cx="9715500" cy="2857500"/>
    <xdr:graphicFrame macro="">
      <xdr:nvGraphicFramePr>
        <xdr:cNvPr id="2" name="Chart 1" title="Diagram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67</xdr:row>
      <xdr:rowOff>161925</xdr:rowOff>
    </xdr:from>
    <xdr:ext cx="13154025" cy="5124450"/>
    <xdr:graphicFrame macro="">
      <xdr:nvGraphicFramePr>
        <xdr:cNvPr id="5" name="Chart 5" title="Diagram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838200</xdr:colOff>
      <xdr:row>43</xdr:row>
      <xdr:rowOff>57150</xdr:rowOff>
    </xdr:from>
    <xdr:ext cx="9715500" cy="2857500"/>
    <xdr:graphicFrame macro="">
      <xdr:nvGraphicFramePr>
        <xdr:cNvPr id="3" name="Chart 3" title="Diagram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67</xdr:row>
      <xdr:rowOff>161925</xdr:rowOff>
    </xdr:from>
    <xdr:ext cx="13154025" cy="5124450"/>
    <xdr:graphicFrame macro="">
      <xdr:nvGraphicFramePr>
        <xdr:cNvPr id="8" name="Chart 8" title="Diagram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40</xdr:row>
      <xdr:rowOff>190500</xdr:rowOff>
    </xdr:from>
    <xdr:ext cx="9715500" cy="2857500"/>
    <xdr:graphicFrame macro="">
      <xdr:nvGraphicFramePr>
        <xdr:cNvPr id="10" name="Chart 10" title="Diagram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67</xdr:row>
      <xdr:rowOff>161925</xdr:rowOff>
    </xdr:from>
    <xdr:ext cx="13154025" cy="5124450"/>
    <xdr:graphicFrame macro="">
      <xdr:nvGraphicFramePr>
        <xdr:cNvPr id="11" name="Chart 11" title="Diagram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1047750</xdr:colOff>
      <xdr:row>39</xdr:row>
      <xdr:rowOff>152400</xdr:rowOff>
    </xdr:from>
    <xdr:ext cx="8124825" cy="4124325"/>
    <xdr:pic>
      <xdr:nvPicPr>
        <xdr:cNvPr id="2" name="image1.png" title="Bild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838200</xdr:colOff>
      <xdr:row>43</xdr:row>
      <xdr:rowOff>57150</xdr:rowOff>
    </xdr:from>
    <xdr:ext cx="9715500" cy="2857500"/>
    <xdr:graphicFrame macro="">
      <xdr:nvGraphicFramePr>
        <xdr:cNvPr id="9" name="Chart 9" title="Diagram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67</xdr:row>
      <xdr:rowOff>161925</xdr:rowOff>
    </xdr:from>
    <xdr:ext cx="13154025" cy="5124450"/>
    <xdr:graphicFrame macro="">
      <xdr:nvGraphicFramePr>
        <xdr:cNvPr id="12" name="Chart 12" title="Diagram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H1:H26">
  <tableColumns count="1">
    <tableColumn id="1" xr3:uid="{00000000-0010-0000-0000-000001000000}" name="Gjennomsnitt"/>
  </tableColumns>
  <tableStyleInfo name="2020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_3" displayName="Table_3" ref="H1:H26">
  <tableColumns count="1">
    <tableColumn id="1" xr3:uid="{00000000-0010-0000-0100-000001000000}" name="Gjennomsnitt"/>
  </tableColumns>
  <tableStyleInfo name="202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_2" displayName="Table_2" ref="H1:H26">
  <tableColumns count="1">
    <tableColumn id="1" xr3:uid="{00000000-0010-0000-0200-000001000000}" name="Gjennomsnitt"/>
  </tableColumns>
  <tableStyleInfo name="202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H1:P26">
  <tableColumns count="9">
    <tableColumn id="1" xr3:uid="{00000000-0010-0000-0300-000001000000}" name="Susanne"/>
    <tableColumn id="2" xr3:uid="{00000000-0010-0000-0300-000002000000}" name="Colleen"/>
    <tableColumn id="3" xr3:uid="{00000000-0010-0000-0300-000003000000}" name="Raul"/>
    <tableColumn id="4" xr3:uid="{00000000-0010-0000-0300-000004000000}" name="Sondre"/>
    <tableColumn id="5" xr3:uid="{00000000-0010-0000-0300-000005000000}" name="Gjennomsnitt"/>
    <tableColumn id="6" xr3:uid="{00000000-0010-0000-0300-000006000000}" name="Ranking"/>
    <tableColumn id="7" xr3:uid="{00000000-0010-0000-0300-000007000000}" name="Beer"/>
    <tableColumn id="8" xr3:uid="{00000000-0010-0000-0300-000008000000}" name="Standardavvik"/>
    <tableColumn id="9" xr3:uid="{00000000-0010-0000-0300-000009000000}" name="Max-Min"/>
  </tableColumns>
  <tableStyleInfo name="2023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Y7:AB10">
  <tableColumns count="4">
    <tableColumn id="1" xr3:uid="{00000000-0010-0000-0400-000001000000}" name="Susanne"/>
    <tableColumn id="2" xr3:uid="{00000000-0010-0000-0400-000002000000}" name="Colleen"/>
    <tableColumn id="3" xr3:uid="{00000000-0010-0000-0400-000003000000}" name="Raul"/>
    <tableColumn id="4" xr3:uid="{00000000-0010-0000-0400-000004000000}" name="Sondre"/>
  </tableColumns>
  <tableStyleInfo name="2023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H67:K67" headerRowCount="0">
  <tableColumns count="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</tableColumns>
  <tableStyleInfo name="2023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I1:M26">
  <tableColumns count="5">
    <tableColumn id="1" xr3:uid="{00000000-0010-0000-0600-000001000000}" name="Gjennomsnitt"/>
    <tableColumn id="2" xr3:uid="{00000000-0010-0000-0600-000002000000}" name="Ranking"/>
    <tableColumn id="3" xr3:uid="{00000000-0010-0000-0600-000003000000}" name="Beer"/>
    <tableColumn id="4" xr3:uid="{00000000-0010-0000-0600-000004000000}" name="Standardavvik"/>
    <tableColumn id="5" xr3:uid="{00000000-0010-0000-0600-000005000000}" name="Max-Min"/>
  </tableColumns>
  <tableStyleInfo name="2024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H1:L26">
  <tableColumns count="5">
    <tableColumn id="1" xr3:uid="{00000000-0010-0000-0700-000001000000}" name="Gjennomsnitt"/>
    <tableColumn id="2" xr3:uid="{00000000-0010-0000-0700-000002000000}" name="Ranking"/>
    <tableColumn id="3" xr3:uid="{00000000-0010-0000-0700-000003000000}" name="Beer"/>
    <tableColumn id="4" xr3:uid="{00000000-0010-0000-0700-000004000000}" name="Standardavvik"/>
    <tableColumn id="5" xr3:uid="{00000000-0010-0000-0700-000005000000}" name="Max-Min"/>
  </tableColumns>
  <tableStyleInfo name="2025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U7:X10">
  <tableColumns count="4">
    <tableColumn id="1" xr3:uid="{00000000-0010-0000-0800-000001000000}" name="Susanne"/>
    <tableColumn id="2" xr3:uid="{00000000-0010-0000-0800-000002000000}" name="Colleen"/>
    <tableColumn id="3" xr3:uid="{00000000-0010-0000-0800-000003000000}" name="Raul"/>
    <tableColumn id="4" xr3:uid="{00000000-0010-0000-0800-000004000000}" name="Sondre"/>
  </tableColumns>
  <tableStyleInfo name="2025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7"/>
  <sheetViews>
    <sheetView workbookViewId="0"/>
  </sheetViews>
  <sheetFormatPr defaultColWidth="12.6328125" defaultRowHeight="15.75" customHeight="1" x14ac:dyDescent="0.25"/>
  <cols>
    <col min="1" max="1" width="13.6328125" customWidth="1"/>
    <col min="2" max="2" width="51.453125" customWidth="1"/>
    <col min="3" max="3" width="13.36328125" customWidth="1"/>
    <col min="4" max="4" width="12.6328125" customWidth="1"/>
    <col min="8" max="8" width="19" customWidth="1"/>
  </cols>
  <sheetData>
    <row r="1" spans="1:8" ht="36.75" customHeight="1" x14ac:dyDescent="0.45">
      <c r="A1" s="1" t="s">
        <v>0</v>
      </c>
      <c r="B1" s="3" t="s">
        <v>1</v>
      </c>
      <c r="C1" s="4" t="s">
        <v>3</v>
      </c>
      <c r="D1" s="6" t="s">
        <v>4</v>
      </c>
      <c r="E1" s="7" t="s">
        <v>5</v>
      </c>
      <c r="F1" s="8" t="s">
        <v>6</v>
      </c>
      <c r="G1" s="9" t="s">
        <v>7</v>
      </c>
      <c r="H1" s="10" t="s">
        <v>9</v>
      </c>
    </row>
    <row r="2" spans="1:8" ht="13" x14ac:dyDescent="0.3">
      <c r="A2" s="11" t="s">
        <v>11</v>
      </c>
      <c r="B2" s="13" t="s">
        <v>12</v>
      </c>
      <c r="C2" s="14">
        <v>50</v>
      </c>
      <c r="D2" s="16">
        <v>50</v>
      </c>
      <c r="E2" s="17">
        <v>20</v>
      </c>
      <c r="F2" s="18">
        <v>49</v>
      </c>
      <c r="G2" s="19">
        <v>18</v>
      </c>
      <c r="H2" s="22">
        <f t="shared" ref="H2:H26" si="0">AVERAGE(C2:G2)</f>
        <v>37.4</v>
      </c>
    </row>
    <row r="3" spans="1:8" ht="13" x14ac:dyDescent="0.3">
      <c r="A3" s="11" t="s">
        <v>16</v>
      </c>
      <c r="B3" s="13" t="s">
        <v>17</v>
      </c>
      <c r="C3" s="14">
        <v>48</v>
      </c>
      <c r="D3" s="16">
        <v>47</v>
      </c>
      <c r="E3" s="17">
        <v>28</v>
      </c>
      <c r="F3" s="18">
        <v>45</v>
      </c>
      <c r="G3" s="19">
        <v>33</v>
      </c>
      <c r="H3" s="22">
        <f t="shared" si="0"/>
        <v>40.200000000000003</v>
      </c>
    </row>
    <row r="4" spans="1:8" ht="13" x14ac:dyDescent="0.3">
      <c r="A4" s="11" t="s">
        <v>19</v>
      </c>
      <c r="B4" s="13" t="s">
        <v>22</v>
      </c>
      <c r="C4" s="14">
        <v>45</v>
      </c>
      <c r="D4" s="16">
        <v>30</v>
      </c>
      <c r="E4" s="17">
        <v>37</v>
      </c>
      <c r="F4" s="18">
        <v>39</v>
      </c>
      <c r="G4" s="19">
        <v>49</v>
      </c>
      <c r="H4" s="22">
        <f t="shared" si="0"/>
        <v>40</v>
      </c>
    </row>
    <row r="5" spans="1:8" ht="13" x14ac:dyDescent="0.3">
      <c r="A5" s="11" t="s">
        <v>23</v>
      </c>
      <c r="B5" s="13" t="s">
        <v>26</v>
      </c>
      <c r="C5" s="14">
        <v>20</v>
      </c>
      <c r="D5" s="16">
        <v>24</v>
      </c>
      <c r="E5" s="17">
        <v>20</v>
      </c>
      <c r="F5" s="18">
        <v>37</v>
      </c>
      <c r="G5" s="19">
        <v>35</v>
      </c>
      <c r="H5" s="22">
        <f t="shared" si="0"/>
        <v>27.2</v>
      </c>
    </row>
    <row r="6" spans="1:8" ht="13" x14ac:dyDescent="0.3">
      <c r="A6" s="11" t="s">
        <v>28</v>
      </c>
      <c r="B6" s="13" t="s">
        <v>32</v>
      </c>
      <c r="C6" s="14">
        <v>55</v>
      </c>
      <c r="D6" s="16">
        <v>60</v>
      </c>
      <c r="E6" s="17">
        <v>55</v>
      </c>
      <c r="F6" s="18">
        <v>50</v>
      </c>
      <c r="G6" s="19">
        <v>59</v>
      </c>
      <c r="H6" s="22">
        <f t="shared" si="0"/>
        <v>55.8</v>
      </c>
    </row>
    <row r="7" spans="1:8" ht="13" x14ac:dyDescent="0.3">
      <c r="A7" s="11" t="s">
        <v>31</v>
      </c>
      <c r="B7" s="13" t="s">
        <v>42</v>
      </c>
      <c r="C7" s="14">
        <v>60</v>
      </c>
      <c r="D7" s="16">
        <v>63</v>
      </c>
      <c r="E7" s="17">
        <v>59</v>
      </c>
      <c r="F7" s="18">
        <v>39</v>
      </c>
      <c r="G7" s="19">
        <v>47</v>
      </c>
      <c r="H7" s="22">
        <f t="shared" si="0"/>
        <v>53.6</v>
      </c>
    </row>
    <row r="8" spans="1:8" ht="13" x14ac:dyDescent="0.3">
      <c r="A8" s="11" t="s">
        <v>36</v>
      </c>
      <c r="B8" s="13" t="s">
        <v>50</v>
      </c>
      <c r="C8" s="14">
        <v>25</v>
      </c>
      <c r="D8" s="16">
        <v>17</v>
      </c>
      <c r="E8" s="17">
        <v>50</v>
      </c>
      <c r="F8" s="18">
        <v>19</v>
      </c>
      <c r="G8" s="19">
        <v>44</v>
      </c>
      <c r="H8" s="22">
        <f t="shared" si="0"/>
        <v>31</v>
      </c>
    </row>
    <row r="9" spans="1:8" ht="13" x14ac:dyDescent="0.3">
      <c r="A9" s="11" t="s">
        <v>39</v>
      </c>
      <c r="B9" s="13" t="s">
        <v>58</v>
      </c>
      <c r="C9" s="14">
        <v>15</v>
      </c>
      <c r="D9" s="16">
        <v>22</v>
      </c>
      <c r="E9" s="17">
        <v>23</v>
      </c>
      <c r="F9" s="18">
        <v>25</v>
      </c>
      <c r="G9" s="19">
        <v>13</v>
      </c>
      <c r="H9" s="22">
        <f t="shared" si="0"/>
        <v>19.600000000000001</v>
      </c>
    </row>
    <row r="10" spans="1:8" ht="13" x14ac:dyDescent="0.3">
      <c r="A10" s="11" t="s">
        <v>45</v>
      </c>
      <c r="B10" s="13" t="s">
        <v>62</v>
      </c>
      <c r="C10" s="14">
        <v>35</v>
      </c>
      <c r="D10" s="16">
        <v>35</v>
      </c>
      <c r="E10" s="17">
        <v>36</v>
      </c>
      <c r="F10" s="18">
        <v>45</v>
      </c>
      <c r="G10" s="19">
        <v>39</v>
      </c>
      <c r="H10" s="22">
        <f t="shared" si="0"/>
        <v>38</v>
      </c>
    </row>
    <row r="11" spans="1:8" ht="13" x14ac:dyDescent="0.3">
      <c r="A11" s="11" t="s">
        <v>51</v>
      </c>
      <c r="B11" s="13" t="s">
        <v>68</v>
      </c>
      <c r="C11" s="14">
        <v>64</v>
      </c>
      <c r="D11" s="16">
        <v>63</v>
      </c>
      <c r="E11" s="17">
        <v>48</v>
      </c>
      <c r="F11" s="18">
        <v>49</v>
      </c>
      <c r="G11" s="19">
        <v>43</v>
      </c>
      <c r="H11" s="22">
        <f t="shared" si="0"/>
        <v>53.4</v>
      </c>
    </row>
    <row r="12" spans="1:8" ht="13" x14ac:dyDescent="0.3">
      <c r="A12" s="11" t="s">
        <v>56</v>
      </c>
      <c r="B12" s="13" t="s">
        <v>74</v>
      </c>
      <c r="C12" s="14">
        <v>45</v>
      </c>
      <c r="D12" s="16">
        <v>45</v>
      </c>
      <c r="E12" s="17">
        <v>46</v>
      </c>
      <c r="F12" s="18">
        <v>40</v>
      </c>
      <c r="G12" s="19">
        <v>48</v>
      </c>
      <c r="H12" s="22">
        <f t="shared" si="0"/>
        <v>44.8</v>
      </c>
    </row>
    <row r="13" spans="1:8" ht="13" x14ac:dyDescent="0.3">
      <c r="A13" s="11" t="s">
        <v>59</v>
      </c>
      <c r="B13" s="13" t="s">
        <v>79</v>
      </c>
      <c r="C13" s="14">
        <v>50</v>
      </c>
      <c r="D13" s="16">
        <v>46</v>
      </c>
      <c r="E13" s="17">
        <v>45</v>
      </c>
      <c r="F13" s="18">
        <v>55</v>
      </c>
      <c r="G13" s="19">
        <v>32</v>
      </c>
      <c r="H13" s="22">
        <f t="shared" si="0"/>
        <v>45.6</v>
      </c>
    </row>
    <row r="14" spans="1:8" ht="13" x14ac:dyDescent="0.3">
      <c r="A14" s="11" t="s">
        <v>63</v>
      </c>
      <c r="B14" s="13" t="s">
        <v>85</v>
      </c>
      <c r="C14" s="14">
        <v>60</v>
      </c>
      <c r="D14" s="16">
        <v>65</v>
      </c>
      <c r="E14" s="17">
        <v>48</v>
      </c>
      <c r="F14" s="18">
        <v>48</v>
      </c>
      <c r="G14" s="19">
        <v>41</v>
      </c>
      <c r="H14" s="22">
        <f t="shared" si="0"/>
        <v>52.4</v>
      </c>
    </row>
    <row r="15" spans="1:8" ht="13" x14ac:dyDescent="0.3">
      <c r="A15" s="11" t="s">
        <v>65</v>
      </c>
      <c r="B15" s="13" t="s">
        <v>89</v>
      </c>
      <c r="C15" s="14">
        <v>50</v>
      </c>
      <c r="D15" s="16">
        <v>50</v>
      </c>
      <c r="E15" s="17">
        <v>18</v>
      </c>
      <c r="F15" s="18">
        <v>30</v>
      </c>
      <c r="G15" s="19">
        <v>21</v>
      </c>
      <c r="H15" s="22">
        <f t="shared" si="0"/>
        <v>33.799999999999997</v>
      </c>
    </row>
    <row r="16" spans="1:8" ht="13" x14ac:dyDescent="0.3">
      <c r="A16" s="11" t="s">
        <v>69</v>
      </c>
      <c r="B16" s="13" t="s">
        <v>94</v>
      </c>
      <c r="C16" s="14">
        <v>10</v>
      </c>
      <c r="D16" s="16">
        <v>5</v>
      </c>
      <c r="E16" s="17">
        <v>60</v>
      </c>
      <c r="F16" s="18">
        <v>6</v>
      </c>
      <c r="G16" s="19">
        <v>57</v>
      </c>
      <c r="H16" s="22">
        <f t="shared" si="0"/>
        <v>27.6</v>
      </c>
    </row>
    <row r="17" spans="1:8" ht="13" x14ac:dyDescent="0.3">
      <c r="A17" s="11" t="s">
        <v>71</v>
      </c>
      <c r="B17" s="13" t="s">
        <v>100</v>
      </c>
      <c r="C17" s="14">
        <v>50</v>
      </c>
      <c r="D17" s="16">
        <v>45</v>
      </c>
      <c r="E17" s="17">
        <v>48</v>
      </c>
      <c r="F17" s="18">
        <v>55</v>
      </c>
      <c r="G17" s="19">
        <v>47</v>
      </c>
      <c r="H17" s="22">
        <f t="shared" si="0"/>
        <v>49</v>
      </c>
    </row>
    <row r="18" spans="1:8" ht="13" x14ac:dyDescent="0.3">
      <c r="A18" s="11" t="s">
        <v>75</v>
      </c>
      <c r="B18" s="13" t="s">
        <v>105</v>
      </c>
      <c r="C18" s="14">
        <v>25</v>
      </c>
      <c r="D18" s="16">
        <v>23</v>
      </c>
      <c r="E18" s="17">
        <v>65</v>
      </c>
      <c r="F18" s="18">
        <v>35</v>
      </c>
      <c r="G18" s="19">
        <v>63</v>
      </c>
      <c r="H18" s="22">
        <f t="shared" si="0"/>
        <v>42.2</v>
      </c>
    </row>
    <row r="19" spans="1:8" ht="13" x14ac:dyDescent="0.3">
      <c r="A19" s="11" t="s">
        <v>78</v>
      </c>
      <c r="B19" s="13" t="s">
        <v>110</v>
      </c>
      <c r="C19" s="14">
        <v>35</v>
      </c>
      <c r="D19" s="16">
        <v>33</v>
      </c>
      <c r="E19" s="17">
        <v>44</v>
      </c>
      <c r="F19" s="18">
        <v>45</v>
      </c>
      <c r="G19" s="19">
        <v>59</v>
      </c>
      <c r="H19" s="22">
        <f t="shared" si="0"/>
        <v>43.2</v>
      </c>
    </row>
    <row r="20" spans="1:8" ht="13" x14ac:dyDescent="0.3">
      <c r="A20" s="11" t="s">
        <v>82</v>
      </c>
      <c r="B20" s="13" t="s">
        <v>113</v>
      </c>
      <c r="C20" s="14">
        <v>15</v>
      </c>
      <c r="D20" s="16">
        <v>28</v>
      </c>
      <c r="E20" s="17">
        <v>39</v>
      </c>
      <c r="F20" s="18">
        <v>40</v>
      </c>
      <c r="G20" s="19">
        <v>52</v>
      </c>
      <c r="H20" s="22">
        <f t="shared" si="0"/>
        <v>34.799999999999997</v>
      </c>
    </row>
    <row r="21" spans="1:8" ht="13" x14ac:dyDescent="0.3">
      <c r="A21" s="11" t="s">
        <v>87</v>
      </c>
      <c r="B21" s="13" t="s">
        <v>115</v>
      </c>
      <c r="C21" s="14">
        <v>30</v>
      </c>
      <c r="D21" s="16">
        <v>25</v>
      </c>
      <c r="E21" s="17">
        <v>30</v>
      </c>
      <c r="F21" s="18">
        <v>25</v>
      </c>
      <c r="G21" s="19">
        <v>48</v>
      </c>
      <c r="H21" s="22">
        <f t="shared" si="0"/>
        <v>31.6</v>
      </c>
    </row>
    <row r="22" spans="1:8" ht="13" x14ac:dyDescent="0.3">
      <c r="A22" s="11" t="s">
        <v>92</v>
      </c>
      <c r="B22" s="13" t="s">
        <v>118</v>
      </c>
      <c r="C22" s="14">
        <v>48</v>
      </c>
      <c r="D22" s="16">
        <v>45</v>
      </c>
      <c r="E22" s="17">
        <v>50</v>
      </c>
      <c r="F22" s="18">
        <v>45</v>
      </c>
      <c r="G22" s="19">
        <v>38</v>
      </c>
      <c r="H22" s="22">
        <f t="shared" si="0"/>
        <v>45.2</v>
      </c>
    </row>
    <row r="23" spans="1:8" ht="13" x14ac:dyDescent="0.3">
      <c r="A23" s="11" t="s">
        <v>95</v>
      </c>
      <c r="B23" s="41" t="s">
        <v>120</v>
      </c>
      <c r="C23" s="14">
        <v>35</v>
      </c>
      <c r="D23" s="16">
        <v>50</v>
      </c>
      <c r="E23" s="17">
        <v>29</v>
      </c>
      <c r="F23" s="18">
        <v>35</v>
      </c>
      <c r="G23" s="19">
        <v>27</v>
      </c>
      <c r="H23" s="22">
        <f t="shared" si="0"/>
        <v>35.200000000000003</v>
      </c>
    </row>
    <row r="24" spans="1:8" ht="13" x14ac:dyDescent="0.3">
      <c r="A24" s="11" t="s">
        <v>99</v>
      </c>
      <c r="B24" s="13" t="s">
        <v>122</v>
      </c>
      <c r="C24" s="14">
        <v>20</v>
      </c>
      <c r="D24" s="16">
        <v>25</v>
      </c>
      <c r="E24" s="17">
        <v>69</v>
      </c>
      <c r="F24" s="18">
        <v>45</v>
      </c>
      <c r="G24" s="19">
        <v>69</v>
      </c>
      <c r="H24" s="22">
        <f t="shared" si="0"/>
        <v>45.6</v>
      </c>
    </row>
    <row r="25" spans="1:8" ht="13" x14ac:dyDescent="0.3">
      <c r="A25" s="11" t="s">
        <v>106</v>
      </c>
      <c r="B25" s="46" t="s">
        <v>124</v>
      </c>
      <c r="C25" s="34">
        <v>20</v>
      </c>
      <c r="D25" s="48">
        <v>18</v>
      </c>
      <c r="E25" s="35">
        <v>40</v>
      </c>
      <c r="F25" s="18">
        <v>30</v>
      </c>
      <c r="G25" s="19">
        <v>38</v>
      </c>
      <c r="H25" s="22">
        <f t="shared" si="0"/>
        <v>29.2</v>
      </c>
    </row>
    <row r="26" spans="1:8" ht="24" customHeight="1" x14ac:dyDescent="0.3">
      <c r="A26" s="50"/>
      <c r="B26" s="37" t="s">
        <v>111</v>
      </c>
      <c r="C26" s="55">
        <f t="shared" ref="C26:G26" si="1">AVERAGE(C2:C25)</f>
        <v>37.916666666666664</v>
      </c>
      <c r="D26" s="55">
        <f t="shared" si="1"/>
        <v>38.083333333333336</v>
      </c>
      <c r="E26" s="55">
        <f t="shared" si="1"/>
        <v>41.958333333333336</v>
      </c>
      <c r="F26" s="55">
        <f t="shared" si="1"/>
        <v>38.791666666666664</v>
      </c>
      <c r="G26" s="55">
        <f t="shared" si="1"/>
        <v>42.5</v>
      </c>
      <c r="H26" s="22">
        <f t="shared" si="0"/>
        <v>39.85</v>
      </c>
    </row>
    <row r="27" spans="1:8" ht="27" customHeight="1" x14ac:dyDescent="0.4">
      <c r="A27" s="54"/>
      <c r="B27" s="96" t="s">
        <v>123</v>
      </c>
      <c r="C27" s="97"/>
      <c r="D27" s="98"/>
      <c r="E27" s="51"/>
      <c r="F27" s="51"/>
      <c r="G27" s="51"/>
      <c r="H27" s="51"/>
    </row>
    <row r="28" spans="1:8" ht="21.75" customHeight="1" x14ac:dyDescent="0.3">
      <c r="A28" s="56"/>
      <c r="B28" s="65" t="str">
        <f ca="1">IFERROR(__xludf.DUMMYFUNCTION("FILTER(B2:B25,H2:H25=LARGE(H2:H25,1))"),"Kirin Ichiban")</f>
        <v>Kirin Ichiban</v>
      </c>
      <c r="C28" s="99">
        <f>LARGE(H2:H25,1)</f>
        <v>55.8</v>
      </c>
      <c r="D28" s="100"/>
    </row>
    <row r="29" spans="1:8" ht="21.75" customHeight="1" x14ac:dyDescent="0.3">
      <c r="A29" s="61"/>
      <c r="B29" s="71" t="str">
        <f ca="1">IFERROR(__xludf.DUMMYFUNCTION("FILTER(B2:B25,H2:H25=LARGE(H2:H25,2))"),"Bitchcraft")</f>
        <v>Bitchcraft</v>
      </c>
      <c r="C29" s="101">
        <f>LARGE(H2:H25,2)</f>
        <v>53.6</v>
      </c>
      <c r="D29" s="100"/>
    </row>
    <row r="30" spans="1:8" ht="23.25" customHeight="1" x14ac:dyDescent="0.3">
      <c r="A30" s="66"/>
      <c r="B30" s="74" t="str">
        <f ca="1">IFERROR(__xludf.DUMMYFUNCTION("FILTER(B2:B25,H2:H25=LARGE(H2:H25,3))"),"Amundsen Ink &amp; Dagger")</f>
        <v>Amundsen Ink &amp; Dagger</v>
      </c>
      <c r="C30" s="102">
        <f>LARGE(H2:H25,3)</f>
        <v>53.4</v>
      </c>
      <c r="D30" s="103"/>
    </row>
    <row r="32" spans="1:8" ht="12.5" x14ac:dyDescent="0.25">
      <c r="A32" s="68"/>
      <c r="B32" s="69" t="s">
        <v>126</v>
      </c>
      <c r="C32" s="70"/>
      <c r="D32" s="70"/>
      <c r="E32" s="70"/>
      <c r="F32" s="70"/>
      <c r="G32" s="70"/>
      <c r="H32" s="72">
        <f>SUM(C32:G32)</f>
        <v>0</v>
      </c>
    </row>
    <row r="33" spans="1:8" ht="13" x14ac:dyDescent="0.3">
      <c r="A33" s="73"/>
      <c r="B33" s="75" t="s">
        <v>128</v>
      </c>
      <c r="C33" s="76"/>
      <c r="D33" s="76"/>
      <c r="E33" s="76"/>
      <c r="F33" s="76"/>
      <c r="G33" s="76"/>
      <c r="H33" s="77"/>
    </row>
    <row r="67" spans="3:7" ht="22.5" x14ac:dyDescent="0.45">
      <c r="C67" s="4" t="s">
        <v>3</v>
      </c>
      <c r="D67" s="6" t="s">
        <v>4</v>
      </c>
      <c r="E67" s="7" t="s">
        <v>5</v>
      </c>
      <c r="F67" s="8" t="s">
        <v>6</v>
      </c>
      <c r="G67" s="78" t="s">
        <v>7</v>
      </c>
    </row>
  </sheetData>
  <mergeCells count="4">
    <mergeCell ref="B27:D27"/>
    <mergeCell ref="C28:D28"/>
    <mergeCell ref="C29:D29"/>
    <mergeCell ref="C30:D30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67"/>
  <sheetViews>
    <sheetView workbookViewId="0">
      <selection activeCell="C13" sqref="C13:C25"/>
    </sheetView>
  </sheetViews>
  <sheetFormatPr defaultColWidth="12.6328125" defaultRowHeight="15.75" customHeight="1" x14ac:dyDescent="0.25"/>
  <cols>
    <col min="1" max="1" width="13.7265625" customWidth="1"/>
    <col min="2" max="2" width="26.36328125" customWidth="1"/>
    <col min="3" max="3" width="13.36328125" customWidth="1"/>
    <col min="4" max="4" width="12.6328125" customWidth="1"/>
    <col min="8" max="8" width="19" customWidth="1"/>
  </cols>
  <sheetData>
    <row r="1" spans="1:11" ht="36.75" customHeight="1" x14ac:dyDescent="0.45">
      <c r="A1" s="1" t="s">
        <v>0</v>
      </c>
      <c r="B1" s="3" t="s">
        <v>8</v>
      </c>
      <c r="C1" s="4" t="s">
        <v>3</v>
      </c>
      <c r="D1" s="6" t="s">
        <v>4</v>
      </c>
      <c r="E1" s="7" t="s">
        <v>5</v>
      </c>
      <c r="F1" s="8" t="s">
        <v>6</v>
      </c>
      <c r="G1" s="9" t="s">
        <v>7</v>
      </c>
      <c r="H1" s="10" t="s">
        <v>9</v>
      </c>
      <c r="J1" s="104" t="s">
        <v>10</v>
      </c>
      <c r="K1" s="105"/>
    </row>
    <row r="2" spans="1:11" ht="13" x14ac:dyDescent="0.3">
      <c r="A2" s="11" t="s">
        <v>11</v>
      </c>
      <c r="B2" s="13" t="s">
        <v>15</v>
      </c>
      <c r="C2" s="14">
        <v>53</v>
      </c>
      <c r="D2" s="16">
        <v>48</v>
      </c>
      <c r="E2" s="17">
        <v>55</v>
      </c>
      <c r="F2" s="18">
        <v>65</v>
      </c>
      <c r="G2" s="19">
        <v>59</v>
      </c>
      <c r="H2" s="22">
        <f t="shared" ref="H2:H26" si="0">AVERAGE(C2:G2)</f>
        <v>56</v>
      </c>
      <c r="J2" s="23" t="s">
        <v>3</v>
      </c>
    </row>
    <row r="3" spans="1:11" ht="13" x14ac:dyDescent="0.3">
      <c r="A3" s="11" t="s">
        <v>16</v>
      </c>
      <c r="B3" s="13" t="s">
        <v>20</v>
      </c>
      <c r="C3" s="14">
        <v>45</v>
      </c>
      <c r="D3" s="16">
        <v>40</v>
      </c>
      <c r="E3" s="17">
        <v>42</v>
      </c>
      <c r="F3" s="18">
        <v>51</v>
      </c>
      <c r="G3" s="19">
        <v>47</v>
      </c>
      <c r="H3" s="22">
        <f t="shared" si="0"/>
        <v>45</v>
      </c>
      <c r="J3" s="23" t="s">
        <v>4</v>
      </c>
    </row>
    <row r="4" spans="1:11" ht="13" x14ac:dyDescent="0.3">
      <c r="A4" s="11" t="s">
        <v>19</v>
      </c>
      <c r="B4" s="13" t="s">
        <v>27</v>
      </c>
      <c r="C4" s="14">
        <v>60</v>
      </c>
      <c r="D4" s="16">
        <v>54</v>
      </c>
      <c r="E4" s="17">
        <v>45</v>
      </c>
      <c r="F4" s="18">
        <v>45</v>
      </c>
      <c r="G4" s="19">
        <v>39</v>
      </c>
      <c r="H4" s="22">
        <f t="shared" si="0"/>
        <v>48.6</v>
      </c>
      <c r="J4" s="23" t="s">
        <v>5</v>
      </c>
    </row>
    <row r="5" spans="1:11" ht="13" x14ac:dyDescent="0.3">
      <c r="A5" s="11" t="s">
        <v>23</v>
      </c>
      <c r="B5" s="13" t="s">
        <v>30</v>
      </c>
      <c r="C5" s="14">
        <v>50</v>
      </c>
      <c r="D5" s="16">
        <v>45</v>
      </c>
      <c r="E5" s="17">
        <v>25</v>
      </c>
      <c r="F5" s="18">
        <v>55</v>
      </c>
      <c r="G5" s="19">
        <v>23</v>
      </c>
      <c r="H5" s="22">
        <f t="shared" si="0"/>
        <v>39.6</v>
      </c>
      <c r="J5" s="23" t="s">
        <v>6</v>
      </c>
    </row>
    <row r="6" spans="1:11" ht="13" x14ac:dyDescent="0.3">
      <c r="A6" s="11" t="s">
        <v>28</v>
      </c>
      <c r="B6" s="13" t="s">
        <v>34</v>
      </c>
      <c r="C6" s="14">
        <v>43</v>
      </c>
      <c r="D6" s="16">
        <v>28</v>
      </c>
      <c r="E6" s="17">
        <v>42</v>
      </c>
      <c r="F6" s="18">
        <v>39</v>
      </c>
      <c r="G6" s="19">
        <v>52</v>
      </c>
      <c r="H6" s="22">
        <f t="shared" si="0"/>
        <v>40.799999999999997</v>
      </c>
      <c r="J6" s="23" t="s">
        <v>7</v>
      </c>
    </row>
    <row r="7" spans="1:11" ht="13" x14ac:dyDescent="0.3">
      <c r="A7" s="11" t="s">
        <v>31</v>
      </c>
      <c r="B7" s="13" t="s">
        <v>38</v>
      </c>
      <c r="C7" s="14">
        <v>5</v>
      </c>
      <c r="D7" s="16">
        <v>5</v>
      </c>
      <c r="E7" s="17">
        <v>59</v>
      </c>
      <c r="F7" s="18">
        <v>50</v>
      </c>
      <c r="G7" s="19">
        <v>56</v>
      </c>
      <c r="H7" s="22">
        <f t="shared" si="0"/>
        <v>35</v>
      </c>
    </row>
    <row r="8" spans="1:11" ht="13" x14ac:dyDescent="0.3">
      <c r="A8" s="11" t="s">
        <v>36</v>
      </c>
      <c r="B8" s="13" t="s">
        <v>32</v>
      </c>
      <c r="C8" s="14">
        <v>56</v>
      </c>
      <c r="D8" s="16">
        <v>69</v>
      </c>
      <c r="E8" s="17">
        <v>52</v>
      </c>
      <c r="F8" s="18">
        <v>35</v>
      </c>
      <c r="G8" s="19">
        <v>58</v>
      </c>
      <c r="H8" s="22">
        <f t="shared" si="0"/>
        <v>54</v>
      </c>
    </row>
    <row r="9" spans="1:11" ht="13" x14ac:dyDescent="0.3">
      <c r="A9" s="11" t="s">
        <v>39</v>
      </c>
      <c r="B9" s="13" t="s">
        <v>49</v>
      </c>
      <c r="C9" s="14">
        <v>45</v>
      </c>
      <c r="D9" s="16">
        <v>67</v>
      </c>
      <c r="E9" s="17">
        <v>65</v>
      </c>
      <c r="F9" s="18">
        <v>64</v>
      </c>
      <c r="G9" s="19">
        <v>69</v>
      </c>
      <c r="H9" s="22">
        <f t="shared" si="0"/>
        <v>62</v>
      </c>
    </row>
    <row r="10" spans="1:11" ht="13" x14ac:dyDescent="0.3">
      <c r="A10" s="11" t="s">
        <v>45</v>
      </c>
      <c r="B10" s="13" t="s">
        <v>61</v>
      </c>
      <c r="C10" s="14">
        <v>43</v>
      </c>
      <c r="D10" s="16">
        <v>23</v>
      </c>
      <c r="E10" s="17">
        <v>30</v>
      </c>
      <c r="F10" s="18">
        <v>25</v>
      </c>
      <c r="G10" s="19">
        <v>34</v>
      </c>
      <c r="H10" s="22">
        <f t="shared" si="0"/>
        <v>31</v>
      </c>
    </row>
    <row r="11" spans="1:11" ht="13" x14ac:dyDescent="0.3">
      <c r="A11" s="11" t="s">
        <v>51</v>
      </c>
      <c r="B11" s="13" t="s">
        <v>67</v>
      </c>
      <c r="C11" s="14">
        <v>41</v>
      </c>
      <c r="D11" s="16">
        <v>59</v>
      </c>
      <c r="E11" s="17">
        <v>37</v>
      </c>
      <c r="F11" s="18">
        <v>34</v>
      </c>
      <c r="G11" s="19">
        <v>33</v>
      </c>
      <c r="H11" s="22">
        <f t="shared" si="0"/>
        <v>40.799999999999997</v>
      </c>
    </row>
    <row r="12" spans="1:11" ht="13" x14ac:dyDescent="0.3">
      <c r="A12" s="11" t="s">
        <v>56</v>
      </c>
      <c r="B12" s="13" t="s">
        <v>72</v>
      </c>
      <c r="C12" s="14">
        <v>38</v>
      </c>
      <c r="D12" s="16">
        <v>20</v>
      </c>
      <c r="E12" s="17">
        <v>25</v>
      </c>
      <c r="F12" s="18">
        <v>26</v>
      </c>
      <c r="G12" s="19">
        <v>35</v>
      </c>
      <c r="H12" s="22">
        <f t="shared" si="0"/>
        <v>28.8</v>
      </c>
    </row>
    <row r="13" spans="1:11" ht="13" x14ac:dyDescent="0.3">
      <c r="A13" s="11" t="s">
        <v>59</v>
      </c>
      <c r="B13" s="13" t="s">
        <v>77</v>
      </c>
      <c r="C13" s="14"/>
      <c r="D13" s="16">
        <v>30</v>
      </c>
      <c r="E13" s="17">
        <v>34</v>
      </c>
      <c r="F13" s="18">
        <v>40</v>
      </c>
      <c r="G13" s="19">
        <v>46</v>
      </c>
      <c r="H13" s="22">
        <f t="shared" si="0"/>
        <v>37.5</v>
      </c>
    </row>
    <row r="14" spans="1:11" ht="13" x14ac:dyDescent="0.3">
      <c r="A14" s="11" t="s">
        <v>63</v>
      </c>
      <c r="B14" s="13" t="s">
        <v>81</v>
      </c>
      <c r="C14" s="14"/>
      <c r="D14" s="16">
        <v>15</v>
      </c>
      <c r="E14" s="17">
        <v>57</v>
      </c>
      <c r="F14" s="18">
        <v>55</v>
      </c>
      <c r="G14" s="19">
        <v>62</v>
      </c>
      <c r="H14" s="22">
        <f t="shared" si="0"/>
        <v>47.25</v>
      </c>
    </row>
    <row r="15" spans="1:11" ht="13" x14ac:dyDescent="0.3">
      <c r="A15" s="11" t="s">
        <v>65</v>
      </c>
      <c r="B15" s="13" t="s">
        <v>86</v>
      </c>
      <c r="C15" s="14"/>
      <c r="D15" s="16">
        <v>42</v>
      </c>
      <c r="E15" s="17">
        <v>45</v>
      </c>
      <c r="F15" s="18">
        <v>60</v>
      </c>
      <c r="G15" s="19">
        <v>35</v>
      </c>
      <c r="H15" s="22">
        <f t="shared" si="0"/>
        <v>45.5</v>
      </c>
    </row>
    <row r="16" spans="1:11" ht="14" x14ac:dyDescent="0.3">
      <c r="A16" s="11" t="s">
        <v>69</v>
      </c>
      <c r="B16" s="13" t="s">
        <v>90</v>
      </c>
      <c r="C16" s="14"/>
      <c r="D16" s="16">
        <v>45</v>
      </c>
      <c r="E16" s="17">
        <v>67</v>
      </c>
      <c r="F16" s="18">
        <v>45</v>
      </c>
      <c r="G16" s="19">
        <v>58</v>
      </c>
      <c r="H16" s="22">
        <f t="shared" si="0"/>
        <v>53.75</v>
      </c>
      <c r="K16" s="33"/>
    </row>
    <row r="17" spans="1:8" ht="13" x14ac:dyDescent="0.3">
      <c r="A17" s="11" t="s">
        <v>71</v>
      </c>
      <c r="B17" s="13" t="s">
        <v>97</v>
      </c>
      <c r="C17" s="14"/>
      <c r="D17" s="16">
        <v>35</v>
      </c>
      <c r="E17" s="17">
        <v>68</v>
      </c>
      <c r="F17" s="18">
        <v>68</v>
      </c>
      <c r="G17" s="19">
        <v>47</v>
      </c>
      <c r="H17" s="22">
        <f t="shared" si="0"/>
        <v>54.5</v>
      </c>
    </row>
    <row r="18" spans="1:8" ht="13" x14ac:dyDescent="0.3">
      <c r="A18" s="11" t="s">
        <v>75</v>
      </c>
      <c r="B18" s="13" t="s">
        <v>101</v>
      </c>
      <c r="C18" s="14"/>
      <c r="D18" s="16"/>
      <c r="E18" s="17">
        <v>56</v>
      </c>
      <c r="F18" s="18">
        <v>47</v>
      </c>
      <c r="G18" s="19">
        <v>53</v>
      </c>
      <c r="H18" s="22">
        <f t="shared" si="0"/>
        <v>52</v>
      </c>
    </row>
    <row r="19" spans="1:8" ht="13" x14ac:dyDescent="0.3">
      <c r="A19" s="11" t="s">
        <v>78</v>
      </c>
      <c r="B19" s="13" t="s">
        <v>104</v>
      </c>
      <c r="C19" s="14"/>
      <c r="D19" s="16">
        <v>67</v>
      </c>
      <c r="E19" s="17">
        <v>51</v>
      </c>
      <c r="F19" s="18">
        <v>45</v>
      </c>
      <c r="G19" s="19">
        <v>64</v>
      </c>
      <c r="H19" s="22">
        <f t="shared" si="0"/>
        <v>56.75</v>
      </c>
    </row>
    <row r="20" spans="1:8" ht="13" x14ac:dyDescent="0.3">
      <c r="A20" s="11" t="s">
        <v>82</v>
      </c>
      <c r="B20" s="13" t="s">
        <v>108</v>
      </c>
      <c r="C20" s="14"/>
      <c r="D20" s="16"/>
      <c r="E20" s="17">
        <v>69</v>
      </c>
      <c r="F20" s="18">
        <v>69</v>
      </c>
      <c r="G20" s="19">
        <v>67</v>
      </c>
      <c r="H20" s="22">
        <f t="shared" si="0"/>
        <v>68.333333333333329</v>
      </c>
    </row>
    <row r="21" spans="1:8" ht="13" x14ac:dyDescent="0.3">
      <c r="A21" s="11" t="s">
        <v>87</v>
      </c>
      <c r="B21" s="13" t="s">
        <v>112</v>
      </c>
      <c r="C21" s="14"/>
      <c r="D21" s="16"/>
      <c r="E21" s="17">
        <v>59</v>
      </c>
      <c r="F21" s="18">
        <v>58</v>
      </c>
      <c r="G21" s="19">
        <v>61</v>
      </c>
      <c r="H21" s="22">
        <f t="shared" si="0"/>
        <v>59.333333333333336</v>
      </c>
    </row>
    <row r="22" spans="1:8" ht="13" x14ac:dyDescent="0.3">
      <c r="A22" s="11" t="s">
        <v>92</v>
      </c>
      <c r="B22" s="13" t="s">
        <v>114</v>
      </c>
      <c r="C22" s="14"/>
      <c r="D22" s="16"/>
      <c r="E22" s="17">
        <v>37</v>
      </c>
      <c r="F22" s="18">
        <v>49</v>
      </c>
      <c r="G22" s="19">
        <v>56</v>
      </c>
      <c r="H22" s="22">
        <f t="shared" si="0"/>
        <v>47.333333333333336</v>
      </c>
    </row>
    <row r="23" spans="1:8" ht="13" x14ac:dyDescent="0.3">
      <c r="A23" s="11" t="s">
        <v>95</v>
      </c>
      <c r="B23" s="41" t="s">
        <v>116</v>
      </c>
      <c r="C23" s="14"/>
      <c r="D23" s="16"/>
      <c r="E23" s="17">
        <v>34</v>
      </c>
      <c r="F23" s="18">
        <v>25</v>
      </c>
      <c r="G23" s="19">
        <v>37</v>
      </c>
      <c r="H23" s="22">
        <f t="shared" si="0"/>
        <v>32</v>
      </c>
    </row>
    <row r="24" spans="1:8" ht="13" x14ac:dyDescent="0.3">
      <c r="A24" s="11" t="s">
        <v>99</v>
      </c>
      <c r="B24" s="13" t="s">
        <v>119</v>
      </c>
      <c r="C24" s="14"/>
      <c r="D24" s="16"/>
      <c r="E24" s="17">
        <v>53</v>
      </c>
      <c r="F24" s="18">
        <v>55</v>
      </c>
      <c r="G24" s="19">
        <v>43</v>
      </c>
      <c r="H24" s="22">
        <f t="shared" si="0"/>
        <v>50.333333333333336</v>
      </c>
    </row>
    <row r="25" spans="1:8" ht="13" x14ac:dyDescent="0.3">
      <c r="A25" s="11" t="s">
        <v>106</v>
      </c>
      <c r="B25" s="46" t="s">
        <v>121</v>
      </c>
      <c r="C25" s="14"/>
      <c r="D25" s="48">
        <v>69</v>
      </c>
      <c r="E25" s="35">
        <v>69</v>
      </c>
      <c r="F25" s="18">
        <v>69</v>
      </c>
      <c r="G25" s="19">
        <v>69</v>
      </c>
      <c r="H25" s="22">
        <f t="shared" si="0"/>
        <v>69</v>
      </c>
    </row>
    <row r="26" spans="1:8" ht="24" customHeight="1" x14ac:dyDescent="0.3">
      <c r="A26" s="50"/>
      <c r="B26" s="37" t="s">
        <v>111</v>
      </c>
      <c r="C26" s="39">
        <f t="shared" ref="C26:G26" si="1">AVERAGE(C2:C25)</f>
        <v>43.545454545454547</v>
      </c>
      <c r="D26" s="42">
        <f t="shared" si="1"/>
        <v>42.277777777777779</v>
      </c>
      <c r="E26" s="39">
        <f t="shared" si="1"/>
        <v>49</v>
      </c>
      <c r="F26" s="42">
        <f t="shared" si="1"/>
        <v>48.916666666666664</v>
      </c>
      <c r="G26" s="53">
        <f t="shared" si="1"/>
        <v>50.125</v>
      </c>
      <c r="H26" s="22">
        <f t="shared" si="0"/>
        <v>46.772979797979801</v>
      </c>
    </row>
    <row r="27" spans="1:8" ht="27" customHeight="1" x14ac:dyDescent="0.4">
      <c r="A27" s="54"/>
      <c r="B27" s="96" t="s">
        <v>123</v>
      </c>
      <c r="C27" s="97"/>
      <c r="D27" s="98"/>
      <c r="E27" s="51"/>
      <c r="F27" s="51"/>
      <c r="G27" s="51"/>
      <c r="H27" s="51"/>
    </row>
    <row r="28" spans="1:8" ht="21.75" customHeight="1" x14ac:dyDescent="0.3">
      <c r="A28" s="56"/>
      <c r="B28" s="58" t="str">
        <f ca="1">IFERROR(__xludf.DUMMYFUNCTION("FILTER(B2:B25,H2:H25=LARGE(H2:H25,1))"),"Lier Eplecider")</f>
        <v>Lier Eplecider</v>
      </c>
      <c r="C28" s="99">
        <f>LARGE(H2:H25,1)</f>
        <v>69</v>
      </c>
      <c r="D28" s="100"/>
    </row>
    <row r="29" spans="1:8" ht="21.75" customHeight="1" x14ac:dyDescent="0.3">
      <c r="A29" s="61"/>
      <c r="B29" s="63" t="str">
        <f ca="1">IFERROR(__xludf.DUMMYFUNCTION("FILTER(B3:B26,H3:H26=LARGE(H3:H26,2))"),"Poppels Mango Passion")</f>
        <v>Poppels Mango Passion</v>
      </c>
      <c r="C29" s="101">
        <f>LARGE(H2:H25,2)</f>
        <v>68.333333333333329</v>
      </c>
      <c r="D29" s="100"/>
    </row>
    <row r="30" spans="1:8" ht="23.25" customHeight="1" x14ac:dyDescent="0.3">
      <c r="A30" s="66"/>
      <c r="B30" s="67" t="str">
        <f ca="1">IFERROR(__xludf.DUMMYFUNCTION("FILTER(B4:B27,H4:H27=LARGE(H4:H27,3))"),"Grevens Moscow Mule")</f>
        <v>Grevens Moscow Mule</v>
      </c>
      <c r="C30" s="102">
        <f>LARGE(H2:H25,3)</f>
        <v>62</v>
      </c>
      <c r="D30" s="103"/>
    </row>
    <row r="32" spans="1:8" ht="12.5" x14ac:dyDescent="0.25">
      <c r="A32" s="68"/>
      <c r="B32" s="69" t="s">
        <v>126</v>
      </c>
      <c r="C32" s="70"/>
      <c r="D32" s="70"/>
      <c r="E32" s="70"/>
      <c r="F32" s="70"/>
      <c r="G32" s="70"/>
      <c r="H32" s="72">
        <f>SUM(C32:G32)</f>
        <v>0</v>
      </c>
    </row>
    <row r="33" spans="1:8" ht="13" x14ac:dyDescent="0.3">
      <c r="A33" s="73"/>
      <c r="B33" s="75" t="s">
        <v>128</v>
      </c>
      <c r="C33" s="76"/>
      <c r="D33" s="76"/>
      <c r="E33" s="76"/>
      <c r="F33" s="76"/>
      <c r="G33" s="76"/>
      <c r="H33" s="77"/>
    </row>
    <row r="67" spans="3:7" ht="22.5" x14ac:dyDescent="0.45">
      <c r="C67" s="4" t="s">
        <v>3</v>
      </c>
      <c r="D67" s="6" t="s">
        <v>4</v>
      </c>
      <c r="E67" s="7" t="s">
        <v>5</v>
      </c>
      <c r="F67" s="8" t="s">
        <v>6</v>
      </c>
      <c r="G67" s="78" t="s">
        <v>7</v>
      </c>
    </row>
  </sheetData>
  <mergeCells count="5">
    <mergeCell ref="J1:K1"/>
    <mergeCell ref="B27:D27"/>
    <mergeCell ref="C28:D28"/>
    <mergeCell ref="C29:D29"/>
    <mergeCell ref="C30:D30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67"/>
  <sheetViews>
    <sheetView workbookViewId="0">
      <selection activeCell="K23" sqref="K23"/>
    </sheetView>
  </sheetViews>
  <sheetFormatPr defaultColWidth="12.6328125" defaultRowHeight="15.75" customHeight="1" x14ac:dyDescent="0.25"/>
  <cols>
    <col min="1" max="1" width="13.453125" customWidth="1"/>
    <col min="2" max="2" width="35.7265625" customWidth="1"/>
    <col min="3" max="3" width="13.36328125" customWidth="1"/>
    <col min="4" max="4" width="16" customWidth="1"/>
    <col min="8" max="8" width="19" customWidth="1"/>
  </cols>
  <sheetData>
    <row r="1" spans="1:11" ht="36.75" customHeight="1" x14ac:dyDescent="0.45">
      <c r="A1" s="2" t="s">
        <v>0</v>
      </c>
      <c r="B1" s="5" t="s">
        <v>2</v>
      </c>
      <c r="C1" s="4" t="s">
        <v>3</v>
      </c>
      <c r="D1" s="6" t="s">
        <v>4</v>
      </c>
      <c r="E1" s="7" t="s">
        <v>5</v>
      </c>
      <c r="F1" s="8" t="s">
        <v>6</v>
      </c>
      <c r="G1" s="9" t="s">
        <v>7</v>
      </c>
      <c r="H1" s="10" t="s">
        <v>9</v>
      </c>
      <c r="J1" s="104" t="s">
        <v>10</v>
      </c>
      <c r="K1" s="105"/>
    </row>
    <row r="2" spans="1:11" ht="13" x14ac:dyDescent="0.3">
      <c r="A2" s="15" t="s">
        <v>11</v>
      </c>
      <c r="B2" s="13" t="s">
        <v>13</v>
      </c>
      <c r="C2" s="14">
        <v>48</v>
      </c>
      <c r="D2" s="20"/>
      <c r="E2" s="17">
        <v>48</v>
      </c>
      <c r="F2" s="18">
        <v>45</v>
      </c>
      <c r="G2" s="21">
        <v>28</v>
      </c>
      <c r="H2" s="22">
        <f t="shared" ref="H2:H26" si="0">AVERAGE(C2:G2)</f>
        <v>42.25</v>
      </c>
      <c r="J2" s="23" t="s">
        <v>3</v>
      </c>
    </row>
    <row r="3" spans="1:11" ht="13" x14ac:dyDescent="0.3">
      <c r="A3" s="15" t="s">
        <v>16</v>
      </c>
      <c r="B3" s="13" t="s">
        <v>18</v>
      </c>
      <c r="C3" s="14">
        <v>59</v>
      </c>
      <c r="D3" s="20"/>
      <c r="E3" s="17">
        <v>40</v>
      </c>
      <c r="F3" s="18">
        <v>48</v>
      </c>
      <c r="G3" s="21">
        <v>35</v>
      </c>
      <c r="H3" s="22">
        <f t="shared" si="0"/>
        <v>45.5</v>
      </c>
      <c r="J3" s="23" t="s">
        <v>4</v>
      </c>
    </row>
    <row r="4" spans="1:11" ht="13" x14ac:dyDescent="0.3">
      <c r="A4" s="15" t="s">
        <v>19</v>
      </c>
      <c r="B4" s="13" t="s">
        <v>21</v>
      </c>
      <c r="C4" s="14">
        <v>32</v>
      </c>
      <c r="D4" s="20"/>
      <c r="E4" s="17">
        <v>35</v>
      </c>
      <c r="F4" s="18">
        <v>43</v>
      </c>
      <c r="G4" s="21">
        <v>47</v>
      </c>
      <c r="H4" s="22">
        <f t="shared" si="0"/>
        <v>39.25</v>
      </c>
      <c r="J4" s="23" t="s">
        <v>5</v>
      </c>
    </row>
    <row r="5" spans="1:11" ht="13" x14ac:dyDescent="0.3">
      <c r="A5" s="15" t="s">
        <v>23</v>
      </c>
      <c r="B5" s="13" t="s">
        <v>24</v>
      </c>
      <c r="C5" s="14">
        <v>26</v>
      </c>
      <c r="D5" s="20"/>
      <c r="E5" s="17">
        <v>45</v>
      </c>
      <c r="F5" s="18">
        <v>4</v>
      </c>
      <c r="G5" s="21">
        <v>49</v>
      </c>
      <c r="H5" s="22">
        <f t="shared" si="0"/>
        <v>31</v>
      </c>
      <c r="J5" s="23" t="s">
        <v>6</v>
      </c>
    </row>
    <row r="6" spans="1:11" ht="13" x14ac:dyDescent="0.3">
      <c r="A6" s="15" t="s">
        <v>28</v>
      </c>
      <c r="B6" s="13" t="s">
        <v>29</v>
      </c>
      <c r="C6" s="14">
        <v>42</v>
      </c>
      <c r="D6" s="20"/>
      <c r="E6" s="17">
        <v>49</v>
      </c>
      <c r="F6" s="18">
        <v>50</v>
      </c>
      <c r="G6" s="21">
        <v>44</v>
      </c>
      <c r="H6" s="22">
        <f t="shared" si="0"/>
        <v>46.25</v>
      </c>
      <c r="J6" s="23" t="s">
        <v>7</v>
      </c>
    </row>
    <row r="7" spans="1:11" ht="13" x14ac:dyDescent="0.3">
      <c r="A7" s="15" t="s">
        <v>31</v>
      </c>
      <c r="B7" s="13" t="s">
        <v>33</v>
      </c>
      <c r="C7" s="14">
        <v>27</v>
      </c>
      <c r="D7" s="20"/>
      <c r="E7" s="17">
        <v>50</v>
      </c>
      <c r="F7" s="18">
        <v>49</v>
      </c>
      <c r="G7" s="21">
        <v>57</v>
      </c>
      <c r="H7" s="22">
        <f t="shared" si="0"/>
        <v>45.75</v>
      </c>
    </row>
    <row r="8" spans="1:11" ht="13" x14ac:dyDescent="0.3">
      <c r="A8" s="15" t="s">
        <v>36</v>
      </c>
      <c r="B8" s="13" t="s">
        <v>37</v>
      </c>
      <c r="C8" s="14">
        <v>36</v>
      </c>
      <c r="D8" s="20"/>
      <c r="E8" s="17">
        <v>53</v>
      </c>
      <c r="F8" s="18">
        <v>53</v>
      </c>
      <c r="G8" s="21">
        <v>55</v>
      </c>
      <c r="H8" s="22">
        <f t="shared" si="0"/>
        <v>49.25</v>
      </c>
    </row>
    <row r="9" spans="1:11" ht="13" x14ac:dyDescent="0.3">
      <c r="A9" s="15" t="s">
        <v>39</v>
      </c>
      <c r="B9" s="13" t="s">
        <v>41</v>
      </c>
      <c r="C9" s="14">
        <v>68</v>
      </c>
      <c r="D9" s="20"/>
      <c r="E9" s="17">
        <v>66</v>
      </c>
      <c r="F9" s="18">
        <v>64</v>
      </c>
      <c r="G9" s="21">
        <v>62</v>
      </c>
      <c r="H9" s="22">
        <f t="shared" si="0"/>
        <v>65</v>
      </c>
    </row>
    <row r="10" spans="1:11" ht="13" x14ac:dyDescent="0.3">
      <c r="A10" s="15" t="s">
        <v>45</v>
      </c>
      <c r="B10" s="13" t="s">
        <v>46</v>
      </c>
      <c r="C10" s="14">
        <v>26</v>
      </c>
      <c r="D10" s="20"/>
      <c r="E10" s="17">
        <v>23</v>
      </c>
      <c r="F10" s="18">
        <v>9</v>
      </c>
      <c r="G10" s="21">
        <v>52</v>
      </c>
      <c r="H10" s="22">
        <f t="shared" si="0"/>
        <v>27.5</v>
      </c>
    </row>
    <row r="11" spans="1:11" ht="13" x14ac:dyDescent="0.3">
      <c r="A11" s="15" t="s">
        <v>51</v>
      </c>
      <c r="B11" s="13" t="s">
        <v>53</v>
      </c>
      <c r="C11" s="14">
        <v>41</v>
      </c>
      <c r="D11" s="20"/>
      <c r="E11" s="17">
        <v>38</v>
      </c>
      <c r="F11" s="18">
        <v>41</v>
      </c>
      <c r="G11" s="21">
        <v>53</v>
      </c>
      <c r="H11" s="22">
        <f t="shared" si="0"/>
        <v>43.25</v>
      </c>
    </row>
    <row r="12" spans="1:11" ht="13" x14ac:dyDescent="0.3">
      <c r="A12" s="15" t="s">
        <v>56</v>
      </c>
      <c r="B12" s="13" t="s">
        <v>57</v>
      </c>
      <c r="C12" s="14">
        <v>13</v>
      </c>
      <c r="D12" s="20"/>
      <c r="E12" s="17">
        <v>8</v>
      </c>
      <c r="F12" s="18">
        <v>2</v>
      </c>
      <c r="G12" s="21">
        <v>51</v>
      </c>
      <c r="H12" s="22">
        <f t="shared" si="0"/>
        <v>18.5</v>
      </c>
    </row>
    <row r="13" spans="1:11" ht="13" x14ac:dyDescent="0.3">
      <c r="A13" s="15" t="s">
        <v>59</v>
      </c>
      <c r="B13" s="13" t="s">
        <v>60</v>
      </c>
      <c r="C13" s="14">
        <v>17</v>
      </c>
      <c r="D13" s="20"/>
      <c r="E13" s="17">
        <v>30</v>
      </c>
      <c r="F13" s="18">
        <v>19</v>
      </c>
      <c r="G13" s="21">
        <v>36</v>
      </c>
      <c r="H13" s="22">
        <f t="shared" si="0"/>
        <v>25.5</v>
      </c>
    </row>
    <row r="14" spans="1:11" ht="13" x14ac:dyDescent="0.3">
      <c r="A14" s="15" t="s">
        <v>63</v>
      </c>
      <c r="B14" s="13" t="s">
        <v>64</v>
      </c>
      <c r="C14" s="14">
        <v>55</v>
      </c>
      <c r="D14" s="20"/>
      <c r="E14" s="17">
        <v>58</v>
      </c>
      <c r="F14" s="18">
        <v>40</v>
      </c>
      <c r="G14" s="21">
        <v>29</v>
      </c>
      <c r="H14" s="22">
        <f t="shared" si="0"/>
        <v>45.5</v>
      </c>
    </row>
    <row r="15" spans="1:11" ht="13" x14ac:dyDescent="0.3">
      <c r="A15" s="15" t="s">
        <v>65</v>
      </c>
      <c r="B15" s="13" t="s">
        <v>66</v>
      </c>
      <c r="C15" s="14">
        <v>52</v>
      </c>
      <c r="D15" s="20"/>
      <c r="E15" s="17">
        <v>69</v>
      </c>
      <c r="F15" s="18">
        <v>69</v>
      </c>
      <c r="G15" s="21">
        <v>69</v>
      </c>
      <c r="H15" s="22">
        <f t="shared" si="0"/>
        <v>64.75</v>
      </c>
    </row>
    <row r="16" spans="1:11" ht="13" x14ac:dyDescent="0.3">
      <c r="A16" s="15" t="s">
        <v>69</v>
      </c>
      <c r="B16" s="13" t="s">
        <v>70</v>
      </c>
      <c r="C16" s="14">
        <v>60</v>
      </c>
      <c r="D16" s="20"/>
      <c r="E16" s="17">
        <v>53</v>
      </c>
      <c r="F16" s="18">
        <v>47</v>
      </c>
      <c r="G16" s="21">
        <v>54</v>
      </c>
      <c r="H16" s="22">
        <f t="shared" si="0"/>
        <v>53.5</v>
      </c>
    </row>
    <row r="17" spans="1:8" ht="13" x14ac:dyDescent="0.3">
      <c r="A17" s="15" t="s">
        <v>71</v>
      </c>
      <c r="B17" s="13" t="s">
        <v>73</v>
      </c>
      <c r="C17" s="14">
        <v>44</v>
      </c>
      <c r="D17" s="20"/>
      <c r="E17" s="17">
        <v>56</v>
      </c>
      <c r="F17" s="18">
        <v>47</v>
      </c>
      <c r="G17" s="21">
        <v>58</v>
      </c>
      <c r="H17" s="22">
        <f t="shared" si="0"/>
        <v>51.25</v>
      </c>
    </row>
    <row r="18" spans="1:8" ht="13" x14ac:dyDescent="0.3">
      <c r="A18" s="15" t="s">
        <v>75</v>
      </c>
      <c r="B18" s="13" t="s">
        <v>76</v>
      </c>
      <c r="C18" s="14">
        <v>53</v>
      </c>
      <c r="D18" s="20"/>
      <c r="E18" s="17">
        <v>61</v>
      </c>
      <c r="F18" s="18">
        <v>59</v>
      </c>
      <c r="G18" s="21">
        <v>39</v>
      </c>
      <c r="H18" s="22">
        <f t="shared" si="0"/>
        <v>53</v>
      </c>
    </row>
    <row r="19" spans="1:8" ht="13" x14ac:dyDescent="0.3">
      <c r="A19" s="15" t="s">
        <v>78</v>
      </c>
      <c r="B19" s="13" t="s">
        <v>80</v>
      </c>
      <c r="C19" s="14">
        <v>62</v>
      </c>
      <c r="D19" s="20"/>
      <c r="E19" s="17">
        <v>51</v>
      </c>
      <c r="F19" s="18">
        <v>61</v>
      </c>
      <c r="G19" s="21">
        <v>38</v>
      </c>
      <c r="H19" s="22">
        <f t="shared" si="0"/>
        <v>53</v>
      </c>
    </row>
    <row r="20" spans="1:8" ht="13" x14ac:dyDescent="0.3">
      <c r="A20" s="15" t="s">
        <v>82</v>
      </c>
      <c r="B20" s="13" t="s">
        <v>83</v>
      </c>
      <c r="C20" s="14">
        <v>53</v>
      </c>
      <c r="D20" s="20"/>
      <c r="E20" s="17">
        <v>48</v>
      </c>
      <c r="F20" s="18">
        <v>45</v>
      </c>
      <c r="G20" s="21" t="s">
        <v>14</v>
      </c>
      <c r="H20" s="22">
        <f t="shared" si="0"/>
        <v>48.666666666666664</v>
      </c>
    </row>
    <row r="21" spans="1:8" ht="13" x14ac:dyDescent="0.3">
      <c r="A21" s="15" t="s">
        <v>87</v>
      </c>
      <c r="B21" s="13" t="s">
        <v>88</v>
      </c>
      <c r="C21" s="14">
        <v>56</v>
      </c>
      <c r="D21" s="20"/>
      <c r="E21" s="17">
        <v>50</v>
      </c>
      <c r="F21" s="18">
        <v>55</v>
      </c>
      <c r="G21" s="21">
        <v>59</v>
      </c>
      <c r="H21" s="22">
        <f t="shared" si="0"/>
        <v>55</v>
      </c>
    </row>
    <row r="22" spans="1:8" ht="13" x14ac:dyDescent="0.3">
      <c r="A22" s="15" t="s">
        <v>92</v>
      </c>
      <c r="B22" s="13" t="s">
        <v>93</v>
      </c>
      <c r="C22" s="14">
        <v>45</v>
      </c>
      <c r="D22" s="20"/>
      <c r="E22" s="17">
        <v>39</v>
      </c>
      <c r="F22" s="18">
        <v>33</v>
      </c>
      <c r="G22" s="21" t="s">
        <v>14</v>
      </c>
      <c r="H22" s="22">
        <f t="shared" si="0"/>
        <v>39</v>
      </c>
    </row>
    <row r="23" spans="1:8" ht="13" x14ac:dyDescent="0.3">
      <c r="A23" s="15" t="s">
        <v>95</v>
      </c>
      <c r="B23" s="13" t="s">
        <v>96</v>
      </c>
      <c r="C23" s="14">
        <v>56</v>
      </c>
      <c r="D23" s="20"/>
      <c r="E23" s="17">
        <v>62</v>
      </c>
      <c r="F23" s="18">
        <v>64</v>
      </c>
      <c r="G23" s="21" t="s">
        <v>14</v>
      </c>
      <c r="H23" s="22">
        <f t="shared" si="0"/>
        <v>60.666666666666664</v>
      </c>
    </row>
    <row r="24" spans="1:8" ht="13" x14ac:dyDescent="0.3">
      <c r="A24" s="15" t="s">
        <v>99</v>
      </c>
      <c r="B24" s="13" t="s">
        <v>102</v>
      </c>
      <c r="C24" s="14">
        <v>45</v>
      </c>
      <c r="D24" s="20"/>
      <c r="E24" s="17">
        <v>48</v>
      </c>
      <c r="F24" s="18">
        <v>35</v>
      </c>
      <c r="G24" s="21" t="s">
        <v>14</v>
      </c>
      <c r="H24" s="22">
        <f t="shared" si="0"/>
        <v>42.666666666666664</v>
      </c>
    </row>
    <row r="25" spans="1:8" ht="13" x14ac:dyDescent="0.3">
      <c r="A25" s="15" t="s">
        <v>106</v>
      </c>
      <c r="B25" s="13" t="s">
        <v>107</v>
      </c>
      <c r="C25" s="34">
        <v>65</v>
      </c>
      <c r="D25" s="20"/>
      <c r="E25" s="35">
        <v>24</v>
      </c>
      <c r="F25" s="18">
        <v>60</v>
      </c>
      <c r="G25" s="21" t="s">
        <v>14</v>
      </c>
      <c r="H25" s="22">
        <f t="shared" si="0"/>
        <v>49.666666666666664</v>
      </c>
    </row>
    <row r="26" spans="1:8" ht="24" customHeight="1" x14ac:dyDescent="0.3">
      <c r="A26" s="36"/>
      <c r="B26" s="37" t="s">
        <v>111</v>
      </c>
      <c r="C26" s="39">
        <f>AVERAGE(C2:C25)</f>
        <v>45.041666666666664</v>
      </c>
      <c r="D26" s="40"/>
      <c r="E26" s="39">
        <f t="shared" ref="E26:F26" si="1">AVERAGE(E2:E25)</f>
        <v>46</v>
      </c>
      <c r="F26" s="42">
        <f t="shared" si="1"/>
        <v>43.416666666666664</v>
      </c>
      <c r="G26" s="43">
        <f>(SUM(G2:G19)+G21)/19</f>
        <v>48.157894736842103</v>
      </c>
      <c r="H26" s="44">
        <f t="shared" si="0"/>
        <v>45.654057017543856</v>
      </c>
    </row>
    <row r="27" spans="1:8" ht="27" customHeight="1" x14ac:dyDescent="0.4">
      <c r="A27" s="49"/>
      <c r="B27" s="106" t="s">
        <v>123</v>
      </c>
      <c r="C27" s="97"/>
      <c r="D27" s="98"/>
      <c r="E27" s="51"/>
      <c r="F27" s="51"/>
      <c r="G27" s="51"/>
      <c r="H27" s="51"/>
    </row>
    <row r="28" spans="1:8" ht="21.75" customHeight="1" x14ac:dyDescent="0.3">
      <c r="A28" s="52"/>
      <c r="B28" s="45" t="str">
        <f ca="1">IFERROR(__xludf.DUMMYFUNCTION("FILTER(B2:B25,H2:H25=LARGE(H2:H25,1))"),"Bringebærdrøm (Herman hjemmebrygg) ")</f>
        <v xml:space="preserve">Bringebærdrøm (Herman hjemmebrygg) </v>
      </c>
      <c r="C28" s="99">
        <f>LARGE(H2:H25,1)</f>
        <v>65</v>
      </c>
      <c r="D28" s="100"/>
    </row>
    <row r="29" spans="1:8" ht="21.75" customHeight="1" x14ac:dyDescent="0.3">
      <c r="A29" s="57"/>
      <c r="B29" s="59" t="str">
        <f ca="1">IFERROR(__xludf.DUMMYFUNCTION("FILTER(B2:B25,H2:H25=LARGE(H2:H25,2))"),"Kasteel Rouge")</f>
        <v>Kasteel Rouge</v>
      </c>
      <c r="C29" s="101">
        <f>LARGE(H2:H25,2)</f>
        <v>64.75</v>
      </c>
      <c r="D29" s="100"/>
    </row>
    <row r="30" spans="1:8" ht="23.25" customHeight="1" x14ac:dyDescent="0.3">
      <c r="A30" s="62"/>
      <c r="B30" s="64" t="str">
        <f ca="1">IFERROR(__xludf.DUMMYFUNCTION("FILTER(B2:B25,H2:H25=LARGE(H2:H25,3))"),"Lindemans Apple")</f>
        <v>Lindemans Apple</v>
      </c>
      <c r="C30" s="102">
        <f>LARGE(H2:H25,3)</f>
        <v>60.666666666666664</v>
      </c>
      <c r="D30" s="103"/>
    </row>
    <row r="32" spans="1:8" ht="12.5" x14ac:dyDescent="0.25">
      <c r="A32" s="68"/>
      <c r="B32" s="69" t="s">
        <v>126</v>
      </c>
      <c r="C32" s="70"/>
      <c r="D32" s="70"/>
      <c r="E32" s="70"/>
      <c r="F32" s="70"/>
      <c r="G32" s="70"/>
      <c r="H32" s="72">
        <f>SUM(C32:G32)</f>
        <v>0</v>
      </c>
    </row>
    <row r="33" spans="1:8" ht="13" x14ac:dyDescent="0.3">
      <c r="A33" s="73"/>
      <c r="B33" s="75" t="s">
        <v>128</v>
      </c>
      <c r="C33" s="76"/>
      <c r="D33" s="76"/>
      <c r="E33" s="76"/>
      <c r="F33" s="76"/>
      <c r="G33" s="76"/>
      <c r="H33" s="77"/>
    </row>
    <row r="67" spans="3:7" ht="22.5" x14ac:dyDescent="0.45">
      <c r="C67" s="4" t="s">
        <v>3</v>
      </c>
      <c r="D67" s="6" t="s">
        <v>4</v>
      </c>
      <c r="E67" s="7" t="s">
        <v>5</v>
      </c>
      <c r="F67" s="8" t="s">
        <v>6</v>
      </c>
      <c r="G67" s="78" t="s">
        <v>7</v>
      </c>
    </row>
  </sheetData>
  <mergeCells count="5">
    <mergeCell ref="J1:K1"/>
    <mergeCell ref="B27:D27"/>
    <mergeCell ref="C28:D28"/>
    <mergeCell ref="C29:D29"/>
    <mergeCell ref="C30:D30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67"/>
  <sheetViews>
    <sheetView workbookViewId="0"/>
  </sheetViews>
  <sheetFormatPr defaultColWidth="12.6328125" defaultRowHeight="15.75" customHeight="1" x14ac:dyDescent="0.25"/>
  <cols>
    <col min="1" max="1" width="13.453125" customWidth="1"/>
    <col min="2" max="2" width="35.7265625" customWidth="1"/>
    <col min="3" max="3" width="20.08984375" customWidth="1"/>
    <col min="4" max="4" width="17.36328125" customWidth="1"/>
    <col min="5" max="5" width="19" customWidth="1"/>
    <col min="6" max="6" width="19.6328125" customWidth="1"/>
    <col min="7" max="7" width="14" customWidth="1"/>
    <col min="8" max="8" width="19.453125" customWidth="1"/>
    <col min="9" max="9" width="16.26953125" customWidth="1"/>
    <col min="10" max="10" width="19.90625" customWidth="1"/>
    <col min="11" max="11" width="17.36328125" customWidth="1"/>
    <col min="12" max="12" width="18.7265625" customWidth="1"/>
    <col min="14" max="14" width="29" customWidth="1"/>
    <col min="15" max="15" width="20" customWidth="1"/>
    <col min="20" max="20" width="23.26953125" customWidth="1"/>
    <col min="21" max="21" width="21.36328125" customWidth="1"/>
    <col min="22" max="22" width="22.26953125" customWidth="1"/>
    <col min="23" max="23" width="21.453125" customWidth="1"/>
    <col min="24" max="24" width="23.08984375" customWidth="1"/>
    <col min="25" max="25" width="23.453125" customWidth="1"/>
    <col min="26" max="26" width="21.90625" customWidth="1"/>
    <col min="27" max="27" width="22.08984375" customWidth="1"/>
    <col min="28" max="28" width="23.453125" customWidth="1"/>
  </cols>
  <sheetData>
    <row r="1" spans="1:28" ht="36.75" customHeight="1" x14ac:dyDescent="0.45">
      <c r="A1" s="2" t="s">
        <v>0</v>
      </c>
      <c r="B1" s="5" t="s">
        <v>25</v>
      </c>
      <c r="C1" s="4" t="s">
        <v>3</v>
      </c>
      <c r="D1" s="6" t="s">
        <v>4</v>
      </c>
      <c r="E1" s="7" t="s">
        <v>5</v>
      </c>
      <c r="F1" s="8" t="s">
        <v>6</v>
      </c>
      <c r="G1" s="9" t="s">
        <v>7</v>
      </c>
      <c r="H1" s="24" t="s">
        <v>35</v>
      </c>
      <c r="I1" s="25" t="s">
        <v>40</v>
      </c>
      <c r="J1" s="26" t="s">
        <v>43</v>
      </c>
      <c r="K1" s="27" t="s">
        <v>44</v>
      </c>
      <c r="L1" s="10" t="s">
        <v>9</v>
      </c>
      <c r="M1" s="28" t="s">
        <v>47</v>
      </c>
      <c r="N1" s="28" t="s">
        <v>48</v>
      </c>
      <c r="O1" s="12" t="s">
        <v>52</v>
      </c>
      <c r="P1" s="12" t="s">
        <v>54</v>
      </c>
    </row>
    <row r="2" spans="1:28" ht="13" x14ac:dyDescent="0.3">
      <c r="A2" s="15" t="s">
        <v>11</v>
      </c>
      <c r="B2" s="13" t="s">
        <v>55</v>
      </c>
      <c r="C2" s="14">
        <v>55</v>
      </c>
      <c r="D2" s="20">
        <v>47</v>
      </c>
      <c r="E2" s="17">
        <v>45</v>
      </c>
      <c r="F2" s="18">
        <v>62</v>
      </c>
      <c r="G2" s="21">
        <v>31</v>
      </c>
      <c r="H2" s="29">
        <v>39</v>
      </c>
      <c r="I2" s="30">
        <v>32</v>
      </c>
      <c r="J2" s="31">
        <v>47</v>
      </c>
      <c r="K2" s="32">
        <v>40</v>
      </c>
      <c r="L2" s="22">
        <f t="shared" ref="L2:L25" si="0">IF(MIN(C2:K2)&gt;0, AVERAGE(C2:K2), "")</f>
        <v>44.222222222222221</v>
      </c>
      <c r="M2" s="23">
        <f t="shared" ref="M2:M25" si="1">IF(L2 &gt; 0, IFERROR(RANK(L2, $L$2:$L$25, FALSE), ""), "")</f>
        <v>9</v>
      </c>
      <c r="N2" s="23" t="str">
        <f t="shared" ref="N2:N25" si="2">IF(M2&lt;=3, B2, "")</f>
        <v/>
      </c>
      <c r="O2" s="23">
        <f t="shared" ref="O2:O11" si="3">IF(MIN(C2:K2) &gt; 0, ROUND(STDEV(C2:K2), 2), "")</f>
        <v>10.11</v>
      </c>
      <c r="P2" s="23">
        <f t="shared" ref="P2:P25" si="4">IF(MAXA(C2:K2)&gt;0, MAXA(C2:K2) - MINA(C2:K2), "")</f>
        <v>31</v>
      </c>
    </row>
    <row r="3" spans="1:28" ht="13" x14ac:dyDescent="0.3">
      <c r="A3" s="15" t="s">
        <v>16</v>
      </c>
      <c r="B3" s="13" t="s">
        <v>84</v>
      </c>
      <c r="C3" s="14">
        <v>60</v>
      </c>
      <c r="D3" s="20">
        <v>34</v>
      </c>
      <c r="E3" s="17">
        <v>28</v>
      </c>
      <c r="F3" s="18">
        <v>59</v>
      </c>
      <c r="G3" s="21">
        <v>52</v>
      </c>
      <c r="H3" s="29">
        <v>29</v>
      </c>
      <c r="I3" s="30">
        <v>63</v>
      </c>
      <c r="J3" s="31">
        <v>48</v>
      </c>
      <c r="K3" s="32">
        <v>25</v>
      </c>
      <c r="L3" s="22">
        <f t="shared" si="0"/>
        <v>44.222222222222221</v>
      </c>
      <c r="M3" s="23">
        <f t="shared" si="1"/>
        <v>9</v>
      </c>
      <c r="N3" s="23" t="str">
        <f t="shared" si="2"/>
        <v/>
      </c>
      <c r="O3" s="23">
        <f t="shared" si="3"/>
        <v>15.26</v>
      </c>
      <c r="P3" s="23">
        <f t="shared" si="4"/>
        <v>38</v>
      </c>
    </row>
    <row r="4" spans="1:28" ht="13" x14ac:dyDescent="0.3">
      <c r="A4" s="15" t="s">
        <v>19</v>
      </c>
      <c r="B4" s="13" t="s">
        <v>91</v>
      </c>
      <c r="C4" s="14">
        <v>53</v>
      </c>
      <c r="D4" s="20">
        <v>53</v>
      </c>
      <c r="E4" s="17">
        <v>35</v>
      </c>
      <c r="F4" s="18">
        <v>66</v>
      </c>
      <c r="G4" s="21">
        <v>37</v>
      </c>
      <c r="H4" s="29">
        <v>42</v>
      </c>
      <c r="I4" s="30">
        <v>55</v>
      </c>
      <c r="J4" s="31">
        <v>39</v>
      </c>
      <c r="K4" s="32">
        <v>52</v>
      </c>
      <c r="L4" s="22">
        <f t="shared" si="0"/>
        <v>48</v>
      </c>
      <c r="M4" s="23">
        <f t="shared" si="1"/>
        <v>5</v>
      </c>
      <c r="N4" s="23" t="str">
        <f t="shared" si="2"/>
        <v/>
      </c>
      <c r="O4" s="23">
        <f t="shared" si="3"/>
        <v>10.28</v>
      </c>
      <c r="P4" s="23">
        <f t="shared" si="4"/>
        <v>31</v>
      </c>
    </row>
    <row r="5" spans="1:28" ht="13" x14ac:dyDescent="0.3">
      <c r="A5" s="15" t="s">
        <v>23</v>
      </c>
      <c r="B5" s="13" t="s">
        <v>98</v>
      </c>
      <c r="C5" s="14">
        <v>35</v>
      </c>
      <c r="D5" s="20">
        <v>60</v>
      </c>
      <c r="E5" s="17">
        <v>34</v>
      </c>
      <c r="F5" s="18">
        <v>35</v>
      </c>
      <c r="G5" s="21">
        <v>26</v>
      </c>
      <c r="H5" s="29">
        <v>24</v>
      </c>
      <c r="I5" s="30">
        <v>20</v>
      </c>
      <c r="J5" s="31">
        <v>28</v>
      </c>
      <c r="K5" s="32">
        <v>56</v>
      </c>
      <c r="L5" s="22">
        <f t="shared" si="0"/>
        <v>35.333333333333336</v>
      </c>
      <c r="M5" s="23">
        <f t="shared" si="1"/>
        <v>18</v>
      </c>
      <c r="N5" s="23" t="str">
        <f t="shared" si="2"/>
        <v/>
      </c>
      <c r="O5" s="23">
        <f t="shared" si="3"/>
        <v>13.88</v>
      </c>
      <c r="P5" s="23">
        <f t="shared" si="4"/>
        <v>40</v>
      </c>
    </row>
    <row r="6" spans="1:28" ht="13" x14ac:dyDescent="0.3">
      <c r="A6" s="15" t="s">
        <v>28</v>
      </c>
      <c r="B6" s="13" t="s">
        <v>103</v>
      </c>
      <c r="C6" s="14">
        <v>50</v>
      </c>
      <c r="D6" s="20">
        <v>24</v>
      </c>
      <c r="E6" s="17">
        <v>40</v>
      </c>
      <c r="F6" s="18">
        <v>30</v>
      </c>
      <c r="G6" s="21">
        <v>51</v>
      </c>
      <c r="H6" s="29">
        <v>29</v>
      </c>
      <c r="I6" s="30">
        <v>69</v>
      </c>
      <c r="J6" s="31">
        <v>22</v>
      </c>
      <c r="K6" s="32">
        <v>35</v>
      </c>
      <c r="L6" s="22">
        <f t="shared" si="0"/>
        <v>38.888888888888886</v>
      </c>
      <c r="M6" s="23">
        <f t="shared" si="1"/>
        <v>17</v>
      </c>
      <c r="N6" s="23" t="str">
        <f t="shared" si="2"/>
        <v/>
      </c>
      <c r="O6" s="23">
        <f t="shared" si="3"/>
        <v>15.32</v>
      </c>
      <c r="P6" s="23">
        <f t="shared" si="4"/>
        <v>47</v>
      </c>
    </row>
    <row r="7" spans="1:28" ht="18" customHeight="1" x14ac:dyDescent="0.45">
      <c r="A7" s="15" t="s">
        <v>31</v>
      </c>
      <c r="B7" s="13" t="s">
        <v>109</v>
      </c>
      <c r="C7" s="14">
        <v>36</v>
      </c>
      <c r="D7" s="20">
        <v>15</v>
      </c>
      <c r="E7" s="17">
        <v>20</v>
      </c>
      <c r="F7" s="18">
        <v>50</v>
      </c>
      <c r="G7" s="21">
        <v>27</v>
      </c>
      <c r="H7" s="29">
        <v>16</v>
      </c>
      <c r="I7" s="30">
        <v>15</v>
      </c>
      <c r="J7" s="31">
        <v>62</v>
      </c>
      <c r="K7" s="32">
        <v>44</v>
      </c>
      <c r="L7" s="22">
        <f t="shared" si="0"/>
        <v>31.666666666666668</v>
      </c>
      <c r="M7" s="23">
        <f t="shared" si="1"/>
        <v>21</v>
      </c>
      <c r="N7" s="23" t="str">
        <f t="shared" si="2"/>
        <v/>
      </c>
      <c r="O7" s="23">
        <f t="shared" si="3"/>
        <v>17.27</v>
      </c>
      <c r="P7" s="23">
        <f t="shared" si="4"/>
        <v>47</v>
      </c>
      <c r="T7" s="38" t="s">
        <v>3</v>
      </c>
      <c r="U7" s="6" t="s">
        <v>4</v>
      </c>
      <c r="V7" s="7" t="s">
        <v>5</v>
      </c>
      <c r="W7" s="8" t="s">
        <v>6</v>
      </c>
      <c r="X7" s="9" t="s">
        <v>7</v>
      </c>
      <c r="Y7" s="24" t="s">
        <v>35</v>
      </c>
      <c r="Z7" s="25" t="s">
        <v>40</v>
      </c>
      <c r="AA7" s="26" t="s">
        <v>43</v>
      </c>
      <c r="AB7" s="27" t="s">
        <v>44</v>
      </c>
    </row>
    <row r="8" spans="1:28" ht="14" x14ac:dyDescent="0.3">
      <c r="A8" s="15" t="s">
        <v>36</v>
      </c>
      <c r="B8" s="13" t="s">
        <v>117</v>
      </c>
      <c r="C8" s="14">
        <v>43</v>
      </c>
      <c r="D8" s="20">
        <v>15</v>
      </c>
      <c r="E8" s="17">
        <v>50</v>
      </c>
      <c r="F8" s="18">
        <v>20</v>
      </c>
      <c r="G8" s="21">
        <v>63</v>
      </c>
      <c r="H8" s="29">
        <v>19</v>
      </c>
      <c r="I8" s="30">
        <v>65</v>
      </c>
      <c r="J8" s="31">
        <v>33</v>
      </c>
      <c r="K8" s="32">
        <v>57</v>
      </c>
      <c r="L8" s="22">
        <f t="shared" si="0"/>
        <v>40.555555555555557</v>
      </c>
      <c r="M8" s="23">
        <f t="shared" si="1"/>
        <v>15</v>
      </c>
      <c r="N8" s="23" t="str">
        <f t="shared" si="2"/>
        <v/>
      </c>
      <c r="O8" s="23">
        <f t="shared" si="3"/>
        <v>19.57</v>
      </c>
      <c r="P8" s="23">
        <f t="shared" si="4"/>
        <v>50</v>
      </c>
      <c r="T8" s="45" t="str">
        <f ca="1">IFERROR(__xludf.DUMMYFUNCTION("FILTER(B2:B25,C2:C25=LARGE(C2:C25,1))"),"Kriek Boon Cherry")</f>
        <v>Kriek Boon Cherry</v>
      </c>
      <c r="U8" s="47" t="str">
        <f ca="1">IFERROR(__xludf.DUMMYFUNCTION("FILTER(B2:B25,D2:D25=LARGE(D2:D25,1))"),"#REF!")</f>
        <v>#REF!</v>
      </c>
      <c r="V8" s="45" t="str">
        <f ca="1">IFERROR(__xludf.DUMMYFUNCTION("FILTER(B2:B25,E2:E25=LARGE(E2:E25,1))"),"Mishappen")</f>
        <v>Mishappen</v>
      </c>
      <c r="W8" s="45" t="str">
        <f ca="1">IFERROR(__xludf.DUMMYFUNCTION("FILTER(B2:B25,F2:F25=LARGE(F2:F25,1))"),"Mishappen")</f>
        <v>Mishappen</v>
      </c>
      <c r="X8" s="45" t="str">
        <f ca="1">IFERROR(__xludf.DUMMYFUNCTION("FILTER(B2:B25,G2:G25=LARGE(G2:G25,1))"),"#REF!")</f>
        <v>#REF!</v>
      </c>
      <c r="Y8" s="45" t="str">
        <f ca="1">IFERROR(__xludf.DUMMYFUNCTION("FILTER(B2:B25,H2:H25=LARGE(H2:H25,1))"),"Old Speckled Hen")</f>
        <v>Old Speckled Hen</v>
      </c>
      <c r="Z8" s="45" t="str">
        <f ca="1">IFERROR(__xludf.DUMMYFUNCTION("FILTER(B2:B25,I2:I25=LARGE(I2:I25,1))"),"#REF!")</f>
        <v>#REF!</v>
      </c>
      <c r="AA8" s="45" t="str">
        <f ca="1">IFERROR(__xludf.DUMMYFUNCTION("FILTER(B2:B25,J2:J25=LARGE(J2:J25,1))"),"Asahi Super Dry")</f>
        <v>Asahi Super Dry</v>
      </c>
      <c r="AB8" s="45" t="str">
        <f ca="1">IFERROR(__xludf.DUMMYFUNCTION("FILTER(B2:B25,K2:K25=LARGE(K2:K25,1))"),"Mishappen")</f>
        <v>Mishappen</v>
      </c>
    </row>
    <row r="9" spans="1:28" ht="14" x14ac:dyDescent="0.3">
      <c r="A9" s="15" t="s">
        <v>39</v>
      </c>
      <c r="B9" s="13" t="s">
        <v>125</v>
      </c>
      <c r="C9" s="14">
        <v>14</v>
      </c>
      <c r="D9" s="20">
        <v>25</v>
      </c>
      <c r="E9" s="17">
        <v>7</v>
      </c>
      <c r="F9" s="18">
        <v>9</v>
      </c>
      <c r="G9" s="21">
        <v>13</v>
      </c>
      <c r="H9" s="29">
        <v>14</v>
      </c>
      <c r="I9" s="30">
        <v>12</v>
      </c>
      <c r="J9" s="31">
        <v>15</v>
      </c>
      <c r="K9" s="32">
        <v>12</v>
      </c>
      <c r="L9" s="22">
        <f t="shared" si="0"/>
        <v>13.444444444444445</v>
      </c>
      <c r="M9" s="23">
        <f t="shared" si="1"/>
        <v>23</v>
      </c>
      <c r="N9" s="23" t="str">
        <f t="shared" si="2"/>
        <v/>
      </c>
      <c r="O9" s="23">
        <f t="shared" si="3"/>
        <v>5.03</v>
      </c>
      <c r="P9" s="23">
        <f t="shared" si="4"/>
        <v>18</v>
      </c>
      <c r="T9" s="59" t="str">
        <f ca="1">IFERROR(__xludf.DUMMYFUNCTION("FILTER(B2:B25,C2:C25=LARGE(C2:C25,2))"),"uno")</f>
        <v>uno</v>
      </c>
      <c r="U9" s="60" t="str">
        <f ca="1">IFERROR(__xludf.DUMMYFUNCTION("FILTER(B2:B25,D2:D25=LARGE(D2:D25,2))"),"#REF!")</f>
        <v>#REF!</v>
      </c>
      <c r="V9" s="59" t="str">
        <f ca="1">IFERROR(__xludf.DUMMYFUNCTION("FILTER(B2:B25,E2:E25=LARGE(E2:E25,2))"),"Black Sombrero")</f>
        <v>Black Sombrero</v>
      </c>
      <c r="W9" s="59" t="str">
        <f ca="1">IFERROR(__xludf.DUMMYFUNCTION("FILTER(B2:B25,F2:F25=LARGE(F2:F25,2))"),"Kriek Boon Cherry")</f>
        <v>Kriek Boon Cherry</v>
      </c>
      <c r="X9" s="59" t="str">
        <f ca="1">IFERROR(__xludf.DUMMYFUNCTION("FILTER(B2:B25,G2:G25=LARGE(G2:G25,2))"),"#REF!")</f>
        <v>#REF!</v>
      </c>
      <c r="Y9" s="59" t="str">
        <f ca="1">IFERROR(__xludf.DUMMYFUNCTION("FILTER(B2:B25,H2:H25=LARGE(H2:H25,2))"),"Asahi Super Dry")</f>
        <v>Asahi Super Dry</v>
      </c>
      <c r="Z9" s="59" t="str">
        <f ca="1">IFERROR(__xludf.DUMMYFUNCTION("FILTER(B2:B25,I2:I25=LARGE(I2:I25,2))"),"#REF!")</f>
        <v>#REF!</v>
      </c>
      <c r="AA9" s="59" t="str">
        <f ca="1">IFERROR(__xludf.DUMMYFUNCTION("FILTER(B2:B25,J2:J25=LARGE(J2:J25,2))"),"Kriek Boon Cherry")</f>
        <v>Kriek Boon Cherry</v>
      </c>
      <c r="AB9" s="59" t="str">
        <f ca="1">IFERROR(__xludf.DUMMYFUNCTION("FILTER(B2:B25,K2:K25=LARGE(K2:K25,2))"),"Asahi Super Dry")</f>
        <v>Asahi Super Dry</v>
      </c>
    </row>
    <row r="10" spans="1:28" ht="14" x14ac:dyDescent="0.3">
      <c r="A10" s="15" t="s">
        <v>45</v>
      </c>
      <c r="B10" s="13" t="s">
        <v>127</v>
      </c>
      <c r="C10" s="14">
        <v>43</v>
      </c>
      <c r="D10" s="20">
        <v>51</v>
      </c>
      <c r="E10" s="17">
        <v>41</v>
      </c>
      <c r="F10" s="18">
        <v>45</v>
      </c>
      <c r="G10" s="21">
        <v>37</v>
      </c>
      <c r="H10" s="29">
        <v>36</v>
      </c>
      <c r="I10" s="30">
        <v>55</v>
      </c>
      <c r="J10" s="31">
        <v>31</v>
      </c>
      <c r="K10" s="32">
        <v>38</v>
      </c>
      <c r="L10" s="22">
        <f t="shared" si="0"/>
        <v>41.888888888888886</v>
      </c>
      <c r="M10" s="23">
        <f t="shared" si="1"/>
        <v>13</v>
      </c>
      <c r="N10" s="23" t="str">
        <f t="shared" si="2"/>
        <v/>
      </c>
      <c r="O10" s="23">
        <f t="shared" si="3"/>
        <v>7.57</v>
      </c>
      <c r="P10" s="23">
        <f t="shared" si="4"/>
        <v>24</v>
      </c>
      <c r="T10" s="64" t="str">
        <f ca="1">IFERROR(__xludf.DUMMYFUNCTION("FILTER(B2:B25,C2:C25=LARGE(C2:C25,3))"),"Amundsen Apocalyptic Thunder Juice")</f>
        <v>Amundsen Apocalyptic Thunder Juice</v>
      </c>
      <c r="U10" s="64" t="str">
        <f ca="1">IFERROR(__xludf.DUMMYFUNCTION("FILTER(B2:B25,D2:D25=LARGE(D2:D25,3))"),"Asahi Super Dry")</f>
        <v>Asahi Super Dry</v>
      </c>
      <c r="V10" s="64" t="str">
        <f ca="1">IFERROR(__xludf.DUMMYFUNCTION("FILTER(B2:B25,E2:E25=LARGE(E2:E25,3))"),"Monkey Brew Pomona Wheat Lemon")</f>
        <v>Monkey Brew Pomona Wheat Lemon</v>
      </c>
      <c r="W10" s="64" t="str">
        <f ca="1">IFERROR(__xludf.DUMMYFUNCTION("FILTER(B2:B25,F2:F25=LARGE(F2:F25,3))"),"Devilproject Diabolical")</f>
        <v>Devilproject Diabolical</v>
      </c>
      <c r="X10" s="64" t="str">
        <f ca="1">IFERROR(__xludf.DUMMYFUNCTION("FILTER(B2:B25,G2:G25=LARGE(G2:G25,3))"),"Asahi Super Dry")</f>
        <v>Asahi Super Dry</v>
      </c>
      <c r="Y10" s="64" t="str">
        <f ca="1">IFERROR(__xludf.DUMMYFUNCTION("FILTER(B2:B25,H2:H25=LARGE(H2:H25,3))"),"slakterkølsj")</f>
        <v>slakterkølsj</v>
      </c>
      <c r="Z10" s="64" t="str">
        <f ca="1">IFERROR(__xludf.DUMMYFUNCTION("FILTER(B2:B25,I2:I25=LARGE(I2:I25,3))"),"Grieskirckner Wiener")</f>
        <v>Grieskirckner Wiener</v>
      </c>
      <c r="AA10" s="64" t="str">
        <f ca="1">IFERROR(__xludf.DUMMYFUNCTION("FILTER(B2:B25,J2:J25=LARGE(J2:J25,3))"),"Giljagaur Barley Wine")</f>
        <v>Giljagaur Barley Wine</v>
      </c>
      <c r="AB10" s="64" t="str">
        <f ca="1">IFERROR(__xludf.DUMMYFUNCTION("FILTER(B2:B25,K2:K25=LARGE(K2:K25,3))"),"Monkey Brew Pomona Wheat Lemon")</f>
        <v>Monkey Brew Pomona Wheat Lemon</v>
      </c>
    </row>
    <row r="11" spans="1:28" ht="13" x14ac:dyDescent="0.3">
      <c r="A11" s="15" t="s">
        <v>51</v>
      </c>
      <c r="B11" s="13" t="s">
        <v>129</v>
      </c>
      <c r="C11" s="14">
        <v>45</v>
      </c>
      <c r="D11" s="20">
        <v>9</v>
      </c>
      <c r="E11" s="17">
        <v>62</v>
      </c>
      <c r="F11" s="18">
        <v>60</v>
      </c>
      <c r="G11" s="21">
        <v>63</v>
      </c>
      <c r="H11" s="29">
        <v>11</v>
      </c>
      <c r="I11" s="30">
        <v>69</v>
      </c>
      <c r="J11" s="31">
        <v>42</v>
      </c>
      <c r="K11" s="32">
        <v>10</v>
      </c>
      <c r="L11" s="22">
        <f t="shared" si="0"/>
        <v>41.222222222222221</v>
      </c>
      <c r="M11" s="23">
        <f t="shared" si="1"/>
        <v>14</v>
      </c>
      <c r="N11" s="23" t="str">
        <f t="shared" si="2"/>
        <v/>
      </c>
      <c r="O11" s="23">
        <f t="shared" si="3"/>
        <v>24.93</v>
      </c>
      <c r="P11" s="23">
        <f t="shared" si="4"/>
        <v>60</v>
      </c>
      <c r="Z11" s="23" t="str">
        <f ca="1">IFERROR(__xludf.DUMMYFUNCTION("""COMPUTED_VALUE"""),"Black Sombrero")</f>
        <v>Black Sombrero</v>
      </c>
    </row>
    <row r="12" spans="1:28" ht="13" x14ac:dyDescent="0.3">
      <c r="A12" s="15" t="s">
        <v>56</v>
      </c>
      <c r="B12" s="13" t="s">
        <v>130</v>
      </c>
      <c r="C12" s="14">
        <v>51</v>
      </c>
      <c r="D12" s="20">
        <v>42</v>
      </c>
      <c r="E12" s="17">
        <v>39</v>
      </c>
      <c r="F12" s="18">
        <v>26</v>
      </c>
      <c r="G12" s="21">
        <v>50</v>
      </c>
      <c r="H12" s="29">
        <v>52</v>
      </c>
      <c r="I12" s="30">
        <v>50</v>
      </c>
      <c r="J12" s="31">
        <v>30</v>
      </c>
      <c r="K12" s="32">
        <v>46</v>
      </c>
      <c r="L12" s="22">
        <f t="shared" si="0"/>
        <v>42.888888888888886</v>
      </c>
      <c r="M12" s="23">
        <f t="shared" si="1"/>
        <v>11</v>
      </c>
      <c r="N12" s="23" t="str">
        <f t="shared" si="2"/>
        <v/>
      </c>
      <c r="O12" s="23">
        <f t="shared" ref="O12:O25" si="5">IF(MIN(C12:K12) &gt; 0, STDEV(C12:K12), "")</f>
        <v>9.5321094785525471</v>
      </c>
      <c r="P12" s="23">
        <f t="shared" si="4"/>
        <v>26</v>
      </c>
      <c r="Z12" s="23" t="str">
        <f ca="1">IFERROR(__xludf.DUMMYFUNCTION("""COMPUTED_VALUE"""),"Kriek Boon Cherry")</f>
        <v>Kriek Boon Cherry</v>
      </c>
    </row>
    <row r="13" spans="1:28" ht="13" x14ac:dyDescent="0.3">
      <c r="A13" s="15" t="s">
        <v>59</v>
      </c>
      <c r="B13" s="13" t="s">
        <v>131</v>
      </c>
      <c r="C13" s="14">
        <v>43</v>
      </c>
      <c r="D13" s="20">
        <v>40</v>
      </c>
      <c r="E13" s="17">
        <v>61</v>
      </c>
      <c r="F13" s="18">
        <v>65</v>
      </c>
      <c r="G13" s="21">
        <v>54</v>
      </c>
      <c r="H13" s="29">
        <v>49</v>
      </c>
      <c r="I13" s="30">
        <v>62</v>
      </c>
      <c r="J13" s="31">
        <v>27</v>
      </c>
      <c r="K13" s="32">
        <v>58</v>
      </c>
      <c r="L13" s="22">
        <f t="shared" si="0"/>
        <v>51</v>
      </c>
      <c r="M13" s="23">
        <f t="shared" si="1"/>
        <v>4</v>
      </c>
      <c r="N13" s="23" t="str">
        <f t="shared" si="2"/>
        <v/>
      </c>
      <c r="O13" s="23">
        <f t="shared" si="5"/>
        <v>12.449899597988733</v>
      </c>
      <c r="P13" s="23">
        <f t="shared" si="4"/>
        <v>38</v>
      </c>
    </row>
    <row r="14" spans="1:28" ht="13" x14ac:dyDescent="0.3">
      <c r="A14" s="15" t="s">
        <v>63</v>
      </c>
      <c r="B14" s="13" t="s">
        <v>132</v>
      </c>
      <c r="C14" s="14">
        <v>45</v>
      </c>
      <c r="D14" s="20">
        <v>53</v>
      </c>
      <c r="E14" s="17">
        <v>27</v>
      </c>
      <c r="F14" s="18">
        <v>28</v>
      </c>
      <c r="G14" s="21">
        <v>44</v>
      </c>
      <c r="H14" s="29">
        <v>51</v>
      </c>
      <c r="I14" s="30">
        <v>56</v>
      </c>
      <c r="J14" s="31">
        <v>49</v>
      </c>
      <c r="K14" s="32">
        <v>46</v>
      </c>
      <c r="L14" s="22">
        <f t="shared" si="0"/>
        <v>44.333333333333336</v>
      </c>
      <c r="M14" s="23">
        <f t="shared" si="1"/>
        <v>8</v>
      </c>
      <c r="N14" s="23" t="str">
        <f t="shared" si="2"/>
        <v/>
      </c>
      <c r="O14" s="23">
        <f t="shared" si="5"/>
        <v>10.295630140987001</v>
      </c>
      <c r="P14" s="23">
        <f t="shared" si="4"/>
        <v>29</v>
      </c>
    </row>
    <row r="15" spans="1:28" ht="13" x14ac:dyDescent="0.3">
      <c r="A15" s="15" t="s">
        <v>65</v>
      </c>
      <c r="B15" s="13" t="s">
        <v>133</v>
      </c>
      <c r="C15" s="14">
        <v>48</v>
      </c>
      <c r="D15" s="20">
        <v>33</v>
      </c>
      <c r="E15" s="17">
        <v>47</v>
      </c>
      <c r="F15" s="18">
        <v>25</v>
      </c>
      <c r="G15" s="21">
        <v>49</v>
      </c>
      <c r="H15" s="29">
        <v>42</v>
      </c>
      <c r="I15" s="30">
        <v>45</v>
      </c>
      <c r="J15" s="31">
        <v>29</v>
      </c>
      <c r="K15" s="32">
        <v>47</v>
      </c>
      <c r="L15" s="22">
        <f t="shared" si="0"/>
        <v>40.555555555555557</v>
      </c>
      <c r="M15" s="23">
        <f t="shared" si="1"/>
        <v>15</v>
      </c>
      <c r="N15" s="23" t="str">
        <f t="shared" si="2"/>
        <v/>
      </c>
      <c r="O15" s="23">
        <f t="shared" si="5"/>
        <v>9.1119579552244332</v>
      </c>
      <c r="P15" s="23">
        <f t="shared" si="4"/>
        <v>24</v>
      </c>
    </row>
    <row r="16" spans="1:28" ht="13" x14ac:dyDescent="0.3">
      <c r="A16" s="15" t="s">
        <v>69</v>
      </c>
      <c r="B16" s="13" t="s">
        <v>134</v>
      </c>
      <c r="C16" s="14">
        <v>42</v>
      </c>
      <c r="D16" s="20">
        <v>28</v>
      </c>
      <c r="E16" s="17">
        <v>18</v>
      </c>
      <c r="F16" s="18">
        <v>23</v>
      </c>
      <c r="G16" s="21">
        <v>33</v>
      </c>
      <c r="H16" s="29">
        <v>55</v>
      </c>
      <c r="I16" s="30">
        <v>23</v>
      </c>
      <c r="J16" s="31">
        <v>6</v>
      </c>
      <c r="K16" s="32">
        <v>44</v>
      </c>
      <c r="L16" s="22">
        <f t="shared" si="0"/>
        <v>30.222222222222221</v>
      </c>
      <c r="M16" s="23">
        <f t="shared" si="1"/>
        <v>22</v>
      </c>
      <c r="N16" s="23" t="str">
        <f t="shared" si="2"/>
        <v/>
      </c>
      <c r="O16" s="23">
        <f t="shared" si="5"/>
        <v>14.981470036162818</v>
      </c>
      <c r="P16" s="23">
        <f t="shared" si="4"/>
        <v>49</v>
      </c>
    </row>
    <row r="17" spans="1:16" ht="13" x14ac:dyDescent="0.3">
      <c r="A17" s="15" t="s">
        <v>71</v>
      </c>
      <c r="B17" s="13" t="s">
        <v>135</v>
      </c>
      <c r="C17" s="14">
        <v>23</v>
      </c>
      <c r="D17" s="20">
        <v>12</v>
      </c>
      <c r="E17" s="17">
        <v>53</v>
      </c>
      <c r="F17" s="18">
        <v>13</v>
      </c>
      <c r="G17" s="21">
        <v>48</v>
      </c>
      <c r="H17" s="29">
        <v>36</v>
      </c>
      <c r="I17" s="30">
        <v>45</v>
      </c>
      <c r="J17" s="31">
        <v>37</v>
      </c>
      <c r="K17" s="32">
        <v>41</v>
      </c>
      <c r="L17" s="22">
        <f t="shared" si="0"/>
        <v>34.222222222222221</v>
      </c>
      <c r="M17" s="23">
        <f t="shared" si="1"/>
        <v>19</v>
      </c>
      <c r="N17" s="23" t="str">
        <f t="shared" si="2"/>
        <v/>
      </c>
      <c r="O17" s="23">
        <f t="shared" si="5"/>
        <v>14.939693586029279</v>
      </c>
      <c r="P17" s="23">
        <f t="shared" si="4"/>
        <v>41</v>
      </c>
    </row>
    <row r="18" spans="1:16" ht="13" x14ac:dyDescent="0.3">
      <c r="A18" s="15" t="s">
        <v>75</v>
      </c>
      <c r="B18" s="13" t="s">
        <v>136</v>
      </c>
      <c r="C18" s="14">
        <v>46</v>
      </c>
      <c r="D18" s="20">
        <v>29</v>
      </c>
      <c r="E18" s="17">
        <v>49</v>
      </c>
      <c r="F18" s="18">
        <v>36</v>
      </c>
      <c r="G18" s="21">
        <v>61</v>
      </c>
      <c r="H18" s="29">
        <v>51</v>
      </c>
      <c r="I18" s="30">
        <f>42+0</f>
        <v>42</v>
      </c>
      <c r="J18" s="31">
        <v>51</v>
      </c>
      <c r="K18" s="32">
        <v>54</v>
      </c>
      <c r="L18" s="22">
        <f t="shared" si="0"/>
        <v>46.555555555555557</v>
      </c>
      <c r="M18" s="23">
        <f t="shared" si="1"/>
        <v>7</v>
      </c>
      <c r="N18" s="23" t="str">
        <f t="shared" si="2"/>
        <v/>
      </c>
      <c r="O18" s="23">
        <f t="shared" si="5"/>
        <v>9.6838926975559687</v>
      </c>
      <c r="P18" s="23">
        <f t="shared" si="4"/>
        <v>32</v>
      </c>
    </row>
    <row r="19" spans="1:16" ht="13" x14ac:dyDescent="0.3">
      <c r="A19" s="15" t="s">
        <v>78</v>
      </c>
      <c r="B19" s="13" t="s">
        <v>137</v>
      </c>
      <c r="C19" s="14">
        <v>20</v>
      </c>
      <c r="D19" s="20">
        <v>40</v>
      </c>
      <c r="E19" s="17">
        <v>59</v>
      </c>
      <c r="F19" s="18">
        <v>20</v>
      </c>
      <c r="G19" s="21">
        <v>57</v>
      </c>
      <c r="H19" s="29">
        <v>27</v>
      </c>
      <c r="I19" s="30">
        <v>16</v>
      </c>
      <c r="J19" s="31">
        <v>47</v>
      </c>
      <c r="K19" s="32">
        <v>20</v>
      </c>
      <c r="L19" s="22">
        <f t="shared" si="0"/>
        <v>34</v>
      </c>
      <c r="M19" s="23">
        <f t="shared" si="1"/>
        <v>20</v>
      </c>
      <c r="N19" s="23" t="str">
        <f t="shared" si="2"/>
        <v/>
      </c>
      <c r="O19" s="23">
        <f t="shared" si="5"/>
        <v>17.029386365926403</v>
      </c>
      <c r="P19" s="23">
        <f t="shared" si="4"/>
        <v>43</v>
      </c>
    </row>
    <row r="20" spans="1:16" ht="13" x14ac:dyDescent="0.3">
      <c r="A20" s="15" t="s">
        <v>82</v>
      </c>
      <c r="B20" s="13" t="s">
        <v>138</v>
      </c>
      <c r="C20" s="14">
        <v>63</v>
      </c>
      <c r="D20" s="20">
        <v>42</v>
      </c>
      <c r="E20" s="17">
        <v>46</v>
      </c>
      <c r="F20" s="18">
        <v>67</v>
      </c>
      <c r="G20" s="21">
        <v>69</v>
      </c>
      <c r="H20" s="29">
        <v>26</v>
      </c>
      <c r="I20" s="30">
        <v>69</v>
      </c>
      <c r="J20" s="31">
        <v>64</v>
      </c>
      <c r="K20" s="32">
        <v>45</v>
      </c>
      <c r="L20" s="22">
        <f t="shared" si="0"/>
        <v>54.555555555555557</v>
      </c>
      <c r="M20" s="23">
        <f t="shared" si="1"/>
        <v>3</v>
      </c>
      <c r="N20" s="23" t="str">
        <f t="shared" si="2"/>
        <v>Kriek Boon Cherry</v>
      </c>
      <c r="O20" s="23">
        <f t="shared" si="5"/>
        <v>15.289793254906288</v>
      </c>
      <c r="P20" s="23">
        <f t="shared" si="4"/>
        <v>43</v>
      </c>
    </row>
    <row r="21" spans="1:16" ht="13" x14ac:dyDescent="0.3">
      <c r="A21" s="15" t="s">
        <v>87</v>
      </c>
      <c r="B21" s="13" t="s">
        <v>140</v>
      </c>
      <c r="C21" s="14">
        <v>40</v>
      </c>
      <c r="D21" s="20">
        <v>30</v>
      </c>
      <c r="E21" s="17">
        <v>60</v>
      </c>
      <c r="F21" s="18">
        <v>59</v>
      </c>
      <c r="G21" s="21">
        <v>56</v>
      </c>
      <c r="H21" s="29">
        <v>12</v>
      </c>
      <c r="I21" s="30">
        <v>65</v>
      </c>
      <c r="J21" s="31">
        <v>37</v>
      </c>
      <c r="K21" s="32">
        <v>27</v>
      </c>
      <c r="L21" s="22">
        <f t="shared" si="0"/>
        <v>42.888888888888886</v>
      </c>
      <c r="M21" s="23">
        <f t="shared" si="1"/>
        <v>11</v>
      </c>
      <c r="N21" s="23" t="str">
        <f t="shared" si="2"/>
        <v/>
      </c>
      <c r="O21" s="23">
        <f t="shared" si="5"/>
        <v>18.127633908238309</v>
      </c>
      <c r="P21" s="23">
        <f t="shared" si="4"/>
        <v>53</v>
      </c>
    </row>
    <row r="22" spans="1:16" ht="13" x14ac:dyDescent="0.3">
      <c r="A22" s="15" t="s">
        <v>92</v>
      </c>
      <c r="B22" s="13" t="s">
        <v>148</v>
      </c>
      <c r="C22" s="14">
        <v>53</v>
      </c>
      <c r="D22" s="20">
        <v>46</v>
      </c>
      <c r="E22" s="17">
        <v>69</v>
      </c>
      <c r="F22" s="18">
        <v>69</v>
      </c>
      <c r="G22" s="21">
        <v>69</v>
      </c>
      <c r="H22" s="29">
        <v>13</v>
      </c>
      <c r="I22" s="30">
        <v>43</v>
      </c>
      <c r="J22" s="31">
        <v>61</v>
      </c>
      <c r="K22" s="32">
        <v>69</v>
      </c>
      <c r="L22" s="22">
        <f t="shared" si="0"/>
        <v>54.666666666666664</v>
      </c>
      <c r="M22" s="23">
        <f t="shared" si="1"/>
        <v>2</v>
      </c>
      <c r="N22" s="23" t="str">
        <f t="shared" si="2"/>
        <v>Mishappen</v>
      </c>
      <c r="O22" s="23">
        <f t="shared" si="5"/>
        <v>18.748333259252675</v>
      </c>
      <c r="P22" s="23">
        <f t="shared" si="4"/>
        <v>56</v>
      </c>
    </row>
    <row r="23" spans="1:16" ht="13" x14ac:dyDescent="0.3">
      <c r="A23" s="15" t="s">
        <v>95</v>
      </c>
      <c r="B23" s="13" t="s">
        <v>157</v>
      </c>
      <c r="C23" s="14">
        <v>50</v>
      </c>
      <c r="D23" s="20">
        <v>58</v>
      </c>
      <c r="E23" s="17">
        <v>27</v>
      </c>
      <c r="F23" s="18">
        <v>61</v>
      </c>
      <c r="G23" s="21">
        <v>65</v>
      </c>
      <c r="H23" s="29">
        <v>53</v>
      </c>
      <c r="I23" s="30">
        <v>60</v>
      </c>
      <c r="J23" s="31">
        <v>66</v>
      </c>
      <c r="K23" s="32">
        <v>65</v>
      </c>
      <c r="L23" s="22">
        <f t="shared" si="0"/>
        <v>56.111111111111114</v>
      </c>
      <c r="M23" s="23">
        <f t="shared" si="1"/>
        <v>1</v>
      </c>
      <c r="N23" s="23" t="str">
        <f t="shared" si="2"/>
        <v>Asahi Super Dry</v>
      </c>
      <c r="O23" s="23">
        <f t="shared" si="5"/>
        <v>12.211106056009477</v>
      </c>
      <c r="P23" s="23">
        <f t="shared" si="4"/>
        <v>39</v>
      </c>
    </row>
    <row r="24" spans="1:16" ht="13" x14ac:dyDescent="0.3">
      <c r="A24" s="15" t="s">
        <v>99</v>
      </c>
      <c r="B24" s="13" t="s">
        <v>163</v>
      </c>
      <c r="C24" s="14">
        <v>43</v>
      </c>
      <c r="D24" s="20">
        <v>60</v>
      </c>
      <c r="E24" s="17">
        <v>37</v>
      </c>
      <c r="F24" s="18">
        <v>56</v>
      </c>
      <c r="G24" s="21">
        <v>43</v>
      </c>
      <c r="H24" s="29">
        <v>51</v>
      </c>
      <c r="I24" s="30">
        <v>30</v>
      </c>
      <c r="J24" s="31">
        <v>53</v>
      </c>
      <c r="K24" s="32">
        <v>55</v>
      </c>
      <c r="L24" s="22">
        <f t="shared" si="0"/>
        <v>47.555555555555557</v>
      </c>
      <c r="M24" s="23">
        <f t="shared" si="1"/>
        <v>6</v>
      </c>
      <c r="N24" s="23" t="str">
        <f t="shared" si="2"/>
        <v/>
      </c>
      <c r="O24" s="23">
        <f t="shared" si="5"/>
        <v>9.9008978268527663</v>
      </c>
      <c r="P24" s="23">
        <f t="shared" si="4"/>
        <v>30</v>
      </c>
    </row>
    <row r="25" spans="1:16" ht="13" x14ac:dyDescent="0.3">
      <c r="A25" s="15" t="s">
        <v>106</v>
      </c>
      <c r="B25" s="13" t="s">
        <v>74</v>
      </c>
      <c r="C25" s="14">
        <v>30</v>
      </c>
      <c r="D25" s="20">
        <v>11</v>
      </c>
      <c r="E25" s="17">
        <v>8</v>
      </c>
      <c r="F25" s="18">
        <v>19</v>
      </c>
      <c r="G25" s="21">
        <v>16</v>
      </c>
      <c r="H25" s="29">
        <v>15</v>
      </c>
      <c r="I25" s="30">
        <v>6</v>
      </c>
      <c r="J25" s="31">
        <v>3</v>
      </c>
      <c r="K25" s="32">
        <v>12</v>
      </c>
      <c r="L25" s="22">
        <f t="shared" si="0"/>
        <v>13.333333333333334</v>
      </c>
      <c r="M25" s="23">
        <f t="shared" si="1"/>
        <v>24</v>
      </c>
      <c r="N25" s="23" t="str">
        <f t="shared" si="2"/>
        <v/>
      </c>
      <c r="O25" s="23">
        <f t="shared" si="5"/>
        <v>8.031189202104505</v>
      </c>
      <c r="P25" s="23">
        <f t="shared" si="4"/>
        <v>27</v>
      </c>
    </row>
    <row r="26" spans="1:16" ht="24" customHeight="1" x14ac:dyDescent="0.3">
      <c r="A26" s="36"/>
      <c r="B26" s="37" t="s">
        <v>111</v>
      </c>
      <c r="C26" s="53">
        <f t="shared" ref="C26:K26" si="6">AVERAGEIF(C2:C25, "&gt;1")</f>
        <v>42.958333333333336</v>
      </c>
      <c r="D26" s="53">
        <f t="shared" si="6"/>
        <v>35.708333333333336</v>
      </c>
      <c r="E26" s="53">
        <f t="shared" si="6"/>
        <v>40.083333333333336</v>
      </c>
      <c r="F26" s="53">
        <f t="shared" si="6"/>
        <v>41.791666666666664</v>
      </c>
      <c r="G26" s="53">
        <f t="shared" si="6"/>
        <v>46.416666666666664</v>
      </c>
      <c r="H26" s="53">
        <f t="shared" si="6"/>
        <v>33</v>
      </c>
      <c r="I26" s="53">
        <f t="shared" si="6"/>
        <v>44.458333333333336</v>
      </c>
      <c r="J26" s="53">
        <f t="shared" si="6"/>
        <v>38.625</v>
      </c>
      <c r="K26" s="53">
        <f t="shared" si="6"/>
        <v>41.583333333333336</v>
      </c>
      <c r="L26" s="44">
        <f>AVERAGE(L2:L25)</f>
        <v>40.513888888888886</v>
      </c>
      <c r="M26" s="23"/>
      <c r="N26" s="23"/>
      <c r="O26" s="23"/>
      <c r="P26" s="23"/>
    </row>
    <row r="27" spans="1:16" ht="27" customHeight="1" x14ac:dyDescent="0.25">
      <c r="B27" s="23" t="s">
        <v>166</v>
      </c>
      <c r="C27" s="23" t="str">
        <f ca="1">IFERROR(__xludf.DUMMYFUNCTION("IFERROR(INDEX(FILTER($B$2:$B$25, C2:C25 = LARGE(C2:C25, 1)), 2), INDEX(FILTER($B$2:$B$25, C2:C25 = LARGE(C2:C25, 1)), 1))
"),"Kriek Boon Cherry")</f>
        <v>Kriek Boon Cherry</v>
      </c>
      <c r="D27" s="23" t="str">
        <f ca="1">IFERROR(__xludf.DUMMYFUNCTION("IFERROR(INDEX(FILTER($B$2:$B$25, D2:D25 = LARGE(D2:D25, 1)), 1), INDEX(FILTER($B$2:$B$25, D2:D25 = LARGE(D2:D25, 1)), 1))
"),"Pravda Putin Huyo")</f>
        <v>Pravda Putin Huyo</v>
      </c>
      <c r="E27" s="23" t="str">
        <f ca="1">IFERROR(__xludf.DUMMYFUNCTION("IFERROR(INDEX(FILTER($B$2:$B$25, E2:E25 = LARGE(E2:E25, 1)), 2), INDEX(FILTER($B$2:$B$25, E2:E25 = LARGE(E2:E25, 1)), 1))
"),"Mishappen")</f>
        <v>Mishappen</v>
      </c>
      <c r="F27" s="23" t="str">
        <f ca="1">IFERROR(__xludf.DUMMYFUNCTION("IFERROR(INDEX(FILTER($B$2:$B$25, F2:F25 = LARGE(F2:F25, 1)), 2), INDEX(FILTER($B$2:$B$25, F2:F25 = LARGE(F2:F25, 1)), 1))
"),"Mishappen")</f>
        <v>Mishappen</v>
      </c>
      <c r="G27" s="23" t="str">
        <f ca="1">IFERROR(__xludf.DUMMYFUNCTION("IFERROR(INDEX(FILTER($B$2:$B$25, G2:G25 = LARGE(G2:G25, 1)), 1), INDEX(FILTER($B$2:$B$25, G2:G25 = LARGE(G2:G25, 1)), 1))
"),"Kriek Boon Cherry")</f>
        <v>Kriek Boon Cherry</v>
      </c>
      <c r="H27" s="23" t="str">
        <f ca="1">IFERROR(__xludf.DUMMYFUNCTION("IFERROR(INDEX(FILTER($B$2:$B$25, H2:H25 = LARGE(H2:H25, 1)), 2), INDEX(FILTER($B$2:$B$25, H2:H25 = LARGE(H2:H25, 1)), 1))
"),"Old Speckled Hen")</f>
        <v>Old Speckled Hen</v>
      </c>
      <c r="I27" s="23" t="str">
        <f ca="1">IFERROR(__xludf.DUMMYFUNCTION("IFERROR(INDEX(FILTER($B$2:$B$25, I2:I25 = LARGE(I2:I25, 1)), 1), INDEX(FILTER($B$2:$B$25, I2:I25 = LARGE(I2:I25, 1)), 1))
"),"Grieskirckner Wiener")</f>
        <v>Grieskirckner Wiener</v>
      </c>
      <c r="J27" s="23" t="str">
        <f ca="1">IFERROR(__xludf.DUMMYFUNCTION("IFERROR(INDEX(FILTER($B$2:$B$25, J2:J25 = LARGE(J2:J25, 1)), 2), INDEX(FILTER($B$2:$B$25, J2:J25 = LARGE(J2:J25, 1)), 1))
"),"Asahi Super Dry")</f>
        <v>Asahi Super Dry</v>
      </c>
      <c r="K27" s="23" t="str">
        <f ca="1">IFERROR(__xludf.DUMMYFUNCTION("IFERROR(INDEX(FILTER($B$2:$B$25, K2:K25 = LARGE(K2:K25, 1)), 2), INDEX(FILTER($B$2:$B$25, K2:K25 = LARGE(K2:K25, 1)), 1))
"),"Mishappen")</f>
        <v>Mishappen</v>
      </c>
    </row>
    <row r="28" spans="1:16" ht="21.75" customHeight="1" x14ac:dyDescent="0.25">
      <c r="B28" s="23" t="s">
        <v>167</v>
      </c>
      <c r="C28" s="23" t="str">
        <f ca="1">IFERROR(__xludf.DUMMYFUNCTION("IFERROR(INDEX(FILTER($B$2:$B$25, C2:C25 = LARGE(C2:C25, 2)), 2), INDEX(FILTER($B$2:$B$25, C2:C25 = LARGE(C2:C25, 2)), 1))
"),"uno")</f>
        <v>uno</v>
      </c>
      <c r="D28" s="23" t="str">
        <f ca="1">IFERROR(__xludf.DUMMYFUNCTION("IFERROR(INDEX(FILTER($B$2:$B$25, D2:D25 = LARGE(D2:D25, 2)), 2), INDEX(FILTER($B$2:$B$25, D2:D25 = LARGE(D2:D25, 2)), 1))
"),"Ay caramba")</f>
        <v>Ay caramba</v>
      </c>
      <c r="E28" s="23" t="str">
        <f ca="1">IFERROR(__xludf.DUMMYFUNCTION("IFERROR(INDEX(FILTER($B$2:$B$25, E2:E25 = LARGE(E2:E25, 2)), 2), INDEX(FILTER($B$2:$B$25, E2:E25 = LARGE(E2:E25, 2)), 1))
"),"Black Sombrero")</f>
        <v>Black Sombrero</v>
      </c>
      <c r="F28" s="23" t="str">
        <f ca="1">IFERROR(__xludf.DUMMYFUNCTION("IFERROR(INDEX(FILTER($B$2:$B$25, F2:F25 = LARGE(F2:F25, 2)), 3), INDEX(FILTER($B$2:$B$25, F2:F25 = LARGE(F2:F25, 2)), 1))
"),"Kriek Boon Cherry")</f>
        <v>Kriek Boon Cherry</v>
      </c>
      <c r="G28" s="23" t="str">
        <f ca="1">IFERROR(__xludf.DUMMYFUNCTION("IFERROR(INDEX(FILTER($B$2:$B$25, G2:G25 = LARGE(G2:G25, 2)), 2), INDEX(FILTER($B$2:$B$25, G2:G25 = LARGE(G2:G25, 2)), 1))
"),"Mishappen")</f>
        <v>Mishappen</v>
      </c>
      <c r="H28" s="23" t="str">
        <f ca="1">IFERROR(__xludf.DUMMYFUNCTION("IFERROR(INDEX(FILTER($B$2:$B$25, H2:H25 = LARGE(H2:H25, 2)), 2), INDEX(FILTER($B$2:$B$25, H2:H25 = LARGE(H2:H25, 2)), 1))
"),"Asahi Super Dry")</f>
        <v>Asahi Super Dry</v>
      </c>
      <c r="I28" s="23" t="str">
        <f ca="1">IFERROR(__xludf.DUMMYFUNCTION("IFERROR(INDEX(FILTER($B$2:$B$25, I2:I25 = LARGE(I2:I25, 2)), 2), INDEX(FILTER($B$2:$B$25, I2:I25 = LARGE(I2:I25, 2)), 1))
"),"Black Sombrero")</f>
        <v>Black Sombrero</v>
      </c>
      <c r="J28" s="23" t="str">
        <f ca="1">IFERROR(__xludf.DUMMYFUNCTION("IFERROR(INDEX(FILTER($B$2:$B$25, J2:J25 = LARGE(J2:J25, 2)), 2), INDEX(FILTER($B$2:$B$25, J2:J25 = LARGE(J2:J25, 2)), 1))
"),"Kriek Boon Cherry")</f>
        <v>Kriek Boon Cherry</v>
      </c>
      <c r="K28" s="23" t="str">
        <f ca="1">IFERROR(__xludf.DUMMYFUNCTION("IFERROR(INDEX(FILTER($B$2:$B$25, K2:K25 = LARGE(K2:K25, 2)), 2), INDEX(FILTER($B$2:$B$25, K2:K25 = LARGE(K2:K25, 2)), 1))
"),"Asahi Super Dry")</f>
        <v>Asahi Super Dry</v>
      </c>
    </row>
    <row r="29" spans="1:16" ht="21.75" customHeight="1" x14ac:dyDescent="0.25">
      <c r="B29" s="23" t="s">
        <v>172</v>
      </c>
      <c r="C29" s="23" t="str">
        <f ca="1">IFERROR(__xludf.DUMMYFUNCTION("IFERROR(INDEX(FILTER($B$2:$B$25, C2:C25 = LARGE(C2:C25, 3)), 2), INDEX(FILTER($B$2:$B$25, C2:C25 = LARGE(C2:C25, 3)), 1))
"),"Amundsen Apocalyptic Thunder Juice")</f>
        <v>Amundsen Apocalyptic Thunder Juice</v>
      </c>
      <c r="D29" s="23" t="str">
        <f ca="1">IFERROR(__xludf.DUMMYFUNCTION("IFERROR(INDEX(FILTER($B$2:$B$25, D2:D25 = LARGE(D2:D25, 3)), 3), INDEX(FILTER($B$2:$B$25, D2:D25 = LARGE(D2:D25, 3)), 1))
"),"Asahi Super Dry")</f>
        <v>Asahi Super Dry</v>
      </c>
      <c r="E29" s="23" t="str">
        <f ca="1">IFERROR(__xludf.DUMMYFUNCTION("IFERROR(INDEX(FILTER($B$2:$B$25, E2:E25 = LARGE(E2:E25, 3)), 2), INDEX(FILTER($B$2:$B$25, E2:E25 = LARGE(E2:E25, 3)), 1))
"),"Monkey Brew Pomona Wheat Lemon")</f>
        <v>Monkey Brew Pomona Wheat Lemon</v>
      </c>
      <c r="F29" s="23" t="str">
        <f ca="1">IFERROR(__xludf.DUMMYFUNCTION("IFERROR(INDEX(FILTER($B$2:$B$25, F2:F25 = LARGE(F2:F25, 3)), 2), INDEX(FILTER($B$2:$B$25, F2:F25 = LARGE(F2:F25, 3)), 1))
"),"Devilproject Diabolical")</f>
        <v>Devilproject Diabolical</v>
      </c>
      <c r="G29" s="23" t="str">
        <f ca="1">IFERROR(__xludf.DUMMYFUNCTION("IFERROR(INDEX(FILTER($B$2:$B$25, G2:G25 = LARGE(G2:G25, 3)), 2), INDEX(FILTER($B$2:$B$25, G2:G25 = LARGE(G2:G25, 3)), 1))
"),"Asahi Super Dry")</f>
        <v>Asahi Super Dry</v>
      </c>
      <c r="H29" s="23" t="str">
        <f ca="1">IFERROR(__xludf.DUMMYFUNCTION("IFERROR(INDEX(FILTER($B$2:$B$25, H2:H25 = LARGE(H2:H25, 3)), 2), INDEX(FILTER($B$2:$B$25, H2:H25 = LARGE(H2:H25, 3)), 1))
"),"slakterkølsj")</f>
        <v>slakterkølsj</v>
      </c>
      <c r="I29" s="23" t="str">
        <f ca="1">IFERROR(__xludf.DUMMYFUNCTION("IFERROR(INDEX(FILTER($B$2:$B$25, I2:I25 = LARGE(I2:I25, 3)), 3), INDEX(FILTER($B$2:$B$25, I2:I25 = LARGE(I2:I25, 3)), 1))
"),"Kriek Boon Cherry")</f>
        <v>Kriek Boon Cherry</v>
      </c>
      <c r="J29" s="23" t="str">
        <f ca="1">IFERROR(__xludf.DUMMYFUNCTION("IFERROR(INDEX(FILTER($B$2:$B$25, J2:J25 = LARGE(J2:J25, 3)), 2), INDEX(FILTER($B$2:$B$25, J2:J25 = LARGE(J2:J25, 3)), 1))
"),"Giljagaur Barley Wine")</f>
        <v>Giljagaur Barley Wine</v>
      </c>
      <c r="K29" s="23" t="str">
        <f ca="1">IFERROR(__xludf.DUMMYFUNCTION("IFERROR(INDEX(FILTER($B$2:$B$25, K2:K25 = LARGE(K2:K25, 3)), 2), INDEX(FILTER($B$2:$B$25, K2:K25 = LARGE(K2:K25, 3)), 1))
"),"Monkey Brew Pomona Wheat Lemon")</f>
        <v>Monkey Brew Pomona Wheat Lemon</v>
      </c>
    </row>
    <row r="30" spans="1:16" ht="23.25" customHeight="1" x14ac:dyDescent="0.25">
      <c r="B30" s="23" t="s">
        <v>177</v>
      </c>
      <c r="C30" s="23">
        <f t="shared" ref="C30:L30" si="7">MAXA(C2:C25) - MIN(C2:C25)</f>
        <v>49</v>
      </c>
      <c r="D30" s="23">
        <f t="shared" si="7"/>
        <v>51</v>
      </c>
      <c r="E30" s="23">
        <f t="shared" si="7"/>
        <v>62</v>
      </c>
      <c r="F30" s="23">
        <f t="shared" si="7"/>
        <v>60</v>
      </c>
      <c r="G30" s="23">
        <f t="shared" si="7"/>
        <v>56</v>
      </c>
      <c r="H30" s="23">
        <f t="shared" si="7"/>
        <v>44</v>
      </c>
      <c r="I30" s="23">
        <f t="shared" si="7"/>
        <v>63</v>
      </c>
      <c r="J30" s="23">
        <f t="shared" si="7"/>
        <v>63</v>
      </c>
      <c r="K30" s="23">
        <f t="shared" si="7"/>
        <v>59</v>
      </c>
      <c r="L30" s="92">
        <f t="shared" si="7"/>
        <v>42.777777777777779</v>
      </c>
    </row>
    <row r="31" spans="1:16" ht="12.5" x14ac:dyDescent="0.25">
      <c r="B31" s="23" t="s">
        <v>178</v>
      </c>
    </row>
    <row r="32" spans="1:16" ht="12.5" x14ac:dyDescent="0.25">
      <c r="E32" s="68"/>
      <c r="F32" s="68"/>
      <c r="G32" s="68"/>
      <c r="H32" s="68"/>
      <c r="I32" s="68"/>
      <c r="J32" s="68"/>
      <c r="K32" s="68"/>
      <c r="L32" s="68"/>
    </row>
    <row r="33" spans="1:12" ht="12.5" x14ac:dyDescent="0.25">
      <c r="E33" s="68"/>
      <c r="F33" s="68"/>
      <c r="G33" s="68"/>
      <c r="H33" s="68"/>
      <c r="I33" s="68"/>
      <c r="J33" s="68"/>
      <c r="K33" s="68"/>
      <c r="L33" s="68"/>
    </row>
    <row r="36" spans="1:12" ht="18" x14ac:dyDescent="0.4">
      <c r="A36" s="49"/>
      <c r="B36" s="106" t="s">
        <v>179</v>
      </c>
      <c r="C36" s="97"/>
      <c r="D36" s="98"/>
    </row>
    <row r="37" spans="1:12" ht="14" x14ac:dyDescent="0.3">
      <c r="A37" s="52"/>
      <c r="B37" s="45" t="str">
        <f ca="1">IFERROR(__xludf.DUMMYFUNCTION("FILTER(B2:B25,L2:L25=LARGE(L2:L25,1))"),"Asahi Super Dry")</f>
        <v>Asahi Super Dry</v>
      </c>
      <c r="C37" s="99">
        <f>LARGE(L2:L25,1)</f>
        <v>56.111111111111114</v>
      </c>
      <c r="D37" s="100"/>
    </row>
    <row r="38" spans="1:12" ht="14" x14ac:dyDescent="0.3">
      <c r="A38" s="57"/>
      <c r="B38" s="59" t="str">
        <f ca="1">IFERROR(__xludf.DUMMYFUNCTION("FILTER(B2:B25,L2:L25=LARGE(L2:L25,2))"),"Mishappen")</f>
        <v>Mishappen</v>
      </c>
      <c r="C38" s="101">
        <f>LARGE(L2:L25,2)</f>
        <v>54.666666666666664</v>
      </c>
      <c r="D38" s="100"/>
    </row>
    <row r="39" spans="1:12" ht="14" x14ac:dyDescent="0.3">
      <c r="A39" s="62"/>
      <c r="B39" s="64" t="str">
        <f ca="1">IFERROR(__xludf.DUMMYFUNCTION("FILTER(B2:B25,L2:L25=LARGE(L2:L25,3))"),"Kriek Boon Cherry")</f>
        <v>Kriek Boon Cherry</v>
      </c>
      <c r="C39" s="102">
        <f>LARGE(L2:L25,3)</f>
        <v>54.555555555555557</v>
      </c>
      <c r="D39" s="103"/>
    </row>
    <row r="67" spans="3:11" ht="22.5" x14ac:dyDescent="0.45">
      <c r="C67" s="4" t="s">
        <v>3</v>
      </c>
      <c r="D67" s="6" t="s">
        <v>4</v>
      </c>
      <c r="E67" s="7" t="s">
        <v>5</v>
      </c>
      <c r="F67" s="8" t="s">
        <v>6</v>
      </c>
      <c r="G67" s="78" t="s">
        <v>7</v>
      </c>
      <c r="H67" s="24" t="s">
        <v>35</v>
      </c>
      <c r="I67" s="25" t="s">
        <v>40</v>
      </c>
      <c r="J67" s="26" t="s">
        <v>43</v>
      </c>
      <c r="K67" s="27" t="s">
        <v>44</v>
      </c>
    </row>
  </sheetData>
  <mergeCells count="4">
    <mergeCell ref="B36:D36"/>
    <mergeCell ref="C37:D37"/>
    <mergeCell ref="C38:D38"/>
    <mergeCell ref="C39:D39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67"/>
  <sheetViews>
    <sheetView workbookViewId="0"/>
  </sheetViews>
  <sheetFormatPr defaultColWidth="12.6328125" defaultRowHeight="15.75" customHeight="1" x14ac:dyDescent="0.25"/>
  <cols>
    <col min="1" max="1" width="13.453125" customWidth="1"/>
    <col min="2" max="2" width="35.7265625" customWidth="1"/>
    <col min="3" max="3" width="20.08984375" customWidth="1"/>
    <col min="4" max="4" width="17.36328125" customWidth="1"/>
    <col min="5" max="5" width="19" customWidth="1"/>
    <col min="6" max="6" width="19.6328125" customWidth="1"/>
    <col min="7" max="8" width="14" customWidth="1"/>
    <col min="9" max="9" width="18.7265625" customWidth="1"/>
    <col min="11" max="11" width="29" customWidth="1"/>
    <col min="12" max="12" width="20" customWidth="1"/>
    <col min="17" max="17" width="23.26953125" customWidth="1"/>
    <col min="18" max="18" width="21.36328125" customWidth="1"/>
    <col min="19" max="19" width="22.26953125" customWidth="1"/>
    <col min="20" max="20" width="21.453125" customWidth="1"/>
    <col min="21" max="21" width="23.08984375" customWidth="1"/>
  </cols>
  <sheetData>
    <row r="1" spans="1:21" ht="36.75" customHeight="1" x14ac:dyDescent="0.45">
      <c r="A1" s="2" t="s">
        <v>0</v>
      </c>
      <c r="B1" s="5" t="s">
        <v>25</v>
      </c>
      <c r="C1" s="4" t="s">
        <v>3</v>
      </c>
      <c r="D1" s="6" t="s">
        <v>4</v>
      </c>
      <c r="E1" s="7" t="s">
        <v>5</v>
      </c>
      <c r="F1" s="8" t="s">
        <v>6</v>
      </c>
      <c r="G1" s="9" t="s">
        <v>7</v>
      </c>
      <c r="H1" s="93" t="s">
        <v>40</v>
      </c>
      <c r="I1" s="10" t="s">
        <v>9</v>
      </c>
      <c r="J1" s="28" t="s">
        <v>47</v>
      </c>
      <c r="K1" s="28" t="s">
        <v>48</v>
      </c>
      <c r="L1" s="12" t="s">
        <v>52</v>
      </c>
      <c r="M1" s="12" t="s">
        <v>54</v>
      </c>
    </row>
    <row r="2" spans="1:21" ht="13" x14ac:dyDescent="0.3">
      <c r="A2" s="15" t="s">
        <v>11</v>
      </c>
      <c r="B2" s="13" t="s">
        <v>180</v>
      </c>
      <c r="C2" s="14">
        <v>54</v>
      </c>
      <c r="D2" s="20">
        <v>35</v>
      </c>
      <c r="E2" s="17">
        <v>49</v>
      </c>
      <c r="F2" s="18"/>
      <c r="G2" s="21">
        <v>58</v>
      </c>
      <c r="H2" s="94">
        <v>35</v>
      </c>
      <c r="I2" s="22">
        <f>IF(MIN(C2:G2)&gt;0, AVERAGE(C2:G2), "")</f>
        <v>49</v>
      </c>
      <c r="J2" s="23">
        <f t="shared" ref="J2:J25" si="0">IF(I2 &gt; 0, IFERROR(RANK(I2, $I$2:$I$25, FALSE), ""), "")</f>
        <v>3</v>
      </c>
      <c r="K2" s="23" t="str">
        <f t="shared" ref="K2:K13" si="1">IF(J2&lt;=3, B2, "")</f>
        <v>Singha Lager 🇹🇭</v>
      </c>
      <c r="L2" s="23">
        <f>IF(MIN(C2:G2) &gt; 0, ROUND(STDEV(C2:G2), 2), "")</f>
        <v>10.029999999999999</v>
      </c>
      <c r="M2" s="23">
        <f>IF(MAXA(C2:G2)&gt;0, MAXA(C2:G2) - MINA(C2:G2), "")</f>
        <v>23</v>
      </c>
    </row>
    <row r="3" spans="1:21" ht="13" x14ac:dyDescent="0.3">
      <c r="A3" s="15" t="s">
        <v>16</v>
      </c>
      <c r="B3" s="13" t="s">
        <v>182</v>
      </c>
      <c r="C3" s="14">
        <v>22</v>
      </c>
      <c r="D3" s="20">
        <v>38</v>
      </c>
      <c r="E3" s="17">
        <v>45</v>
      </c>
      <c r="F3" s="18"/>
      <c r="G3" s="21">
        <v>51</v>
      </c>
      <c r="H3" s="94">
        <v>50</v>
      </c>
      <c r="I3" s="22">
        <f t="shared" ref="I3:I25" si="2">IF(MIN(C3:H3)&gt;0, AVERAGE(C3:H3), "")</f>
        <v>41.2</v>
      </c>
      <c r="J3" s="23">
        <f t="shared" si="0"/>
        <v>6</v>
      </c>
      <c r="K3" s="23" t="str">
        <f t="shared" si="1"/>
        <v/>
      </c>
      <c r="L3" s="23">
        <f t="shared" ref="L3:L11" si="3">IF(MIN(C3:H3) &gt; 0, ROUND(STDEV(C3:H3), 2), "")</f>
        <v>11.9</v>
      </c>
      <c r="M3" s="23">
        <f t="shared" ref="M3:M25" si="4">IF(MAXA(C3:H3)&gt;0, MAXA(C3:H3) - MINA(C3:H3), "")</f>
        <v>29</v>
      </c>
    </row>
    <row r="4" spans="1:21" ht="13" x14ac:dyDescent="0.3">
      <c r="A4" s="15" t="s">
        <v>19</v>
      </c>
      <c r="B4" s="13" t="s">
        <v>185</v>
      </c>
      <c r="C4" s="14">
        <v>44</v>
      </c>
      <c r="D4" s="20">
        <v>42</v>
      </c>
      <c r="E4" s="17">
        <v>35</v>
      </c>
      <c r="F4" s="18"/>
      <c r="G4" s="21">
        <v>47</v>
      </c>
      <c r="H4" s="94">
        <v>30</v>
      </c>
      <c r="I4" s="22">
        <f t="shared" si="2"/>
        <v>39.6</v>
      </c>
      <c r="J4" s="23">
        <f t="shared" si="0"/>
        <v>9</v>
      </c>
      <c r="K4" s="23" t="str">
        <f t="shared" si="1"/>
        <v/>
      </c>
      <c r="L4" s="23">
        <f t="shared" si="3"/>
        <v>6.95</v>
      </c>
      <c r="M4" s="23">
        <f t="shared" si="4"/>
        <v>17</v>
      </c>
    </row>
    <row r="5" spans="1:21" ht="13" x14ac:dyDescent="0.3">
      <c r="A5" s="15" t="s">
        <v>23</v>
      </c>
      <c r="B5" s="13" t="s">
        <v>187</v>
      </c>
      <c r="C5" s="14">
        <v>29</v>
      </c>
      <c r="D5" s="20">
        <v>30</v>
      </c>
      <c r="E5" s="17">
        <v>39</v>
      </c>
      <c r="F5" s="18"/>
      <c r="G5" s="21">
        <v>41</v>
      </c>
      <c r="H5" s="94">
        <v>45</v>
      </c>
      <c r="I5" s="22">
        <f t="shared" si="2"/>
        <v>36.799999999999997</v>
      </c>
      <c r="J5" s="23">
        <f t="shared" si="0"/>
        <v>11</v>
      </c>
      <c r="K5" s="23" t="str">
        <f t="shared" si="1"/>
        <v/>
      </c>
      <c r="L5" s="23">
        <f t="shared" si="3"/>
        <v>7.01</v>
      </c>
      <c r="M5" s="23">
        <f t="shared" si="4"/>
        <v>16</v>
      </c>
    </row>
    <row r="6" spans="1:21" ht="13" x14ac:dyDescent="0.3">
      <c r="A6" s="15" t="s">
        <v>28</v>
      </c>
      <c r="B6" s="13" t="s">
        <v>189</v>
      </c>
      <c r="C6" s="14">
        <v>25</v>
      </c>
      <c r="D6" s="20">
        <v>30</v>
      </c>
      <c r="E6" s="17">
        <v>45</v>
      </c>
      <c r="F6" s="18"/>
      <c r="G6" s="21">
        <v>36</v>
      </c>
      <c r="H6" s="94">
        <v>32</v>
      </c>
      <c r="I6" s="22">
        <f t="shared" si="2"/>
        <v>33.6</v>
      </c>
      <c r="J6" s="23">
        <f t="shared" si="0"/>
        <v>13</v>
      </c>
      <c r="K6" s="23" t="str">
        <f t="shared" si="1"/>
        <v/>
      </c>
      <c r="L6" s="23">
        <f t="shared" si="3"/>
        <v>7.5</v>
      </c>
      <c r="M6" s="23">
        <f t="shared" si="4"/>
        <v>20</v>
      </c>
    </row>
    <row r="7" spans="1:21" ht="18" customHeight="1" x14ac:dyDescent="0.45">
      <c r="A7" s="15" t="s">
        <v>31</v>
      </c>
      <c r="B7" s="13" t="s">
        <v>191</v>
      </c>
      <c r="C7" s="14">
        <v>16</v>
      </c>
      <c r="D7" s="20">
        <v>28</v>
      </c>
      <c r="E7" s="17">
        <v>54</v>
      </c>
      <c r="F7" s="18"/>
      <c r="G7" s="21">
        <v>48</v>
      </c>
      <c r="H7" s="94">
        <v>60</v>
      </c>
      <c r="I7" s="22">
        <f t="shared" si="2"/>
        <v>41.2</v>
      </c>
      <c r="J7" s="23">
        <f t="shared" si="0"/>
        <v>6</v>
      </c>
      <c r="K7" s="23" t="str">
        <f t="shared" si="1"/>
        <v/>
      </c>
      <c r="L7" s="23">
        <f t="shared" si="3"/>
        <v>18.53</v>
      </c>
      <c r="M7" s="23">
        <f t="shared" si="4"/>
        <v>44</v>
      </c>
      <c r="Q7" s="38" t="s">
        <v>3</v>
      </c>
      <c r="R7" s="6" t="s">
        <v>4</v>
      </c>
      <c r="S7" s="7" t="s">
        <v>5</v>
      </c>
      <c r="T7" s="8" t="s">
        <v>6</v>
      </c>
      <c r="U7" s="9" t="s">
        <v>7</v>
      </c>
    </row>
    <row r="8" spans="1:21" ht="14" x14ac:dyDescent="0.3">
      <c r="A8" s="15" t="s">
        <v>36</v>
      </c>
      <c r="B8" s="13" t="s">
        <v>192</v>
      </c>
      <c r="C8" s="14">
        <v>53</v>
      </c>
      <c r="D8" s="20">
        <v>38</v>
      </c>
      <c r="E8" s="17">
        <v>30</v>
      </c>
      <c r="F8" s="18"/>
      <c r="G8" s="21">
        <v>24</v>
      </c>
      <c r="H8" s="94">
        <v>15</v>
      </c>
      <c r="I8" s="22">
        <f t="shared" si="2"/>
        <v>32</v>
      </c>
      <c r="J8" s="23">
        <f t="shared" si="0"/>
        <v>15</v>
      </c>
      <c r="K8" s="23" t="str">
        <f t="shared" si="1"/>
        <v/>
      </c>
      <c r="L8" s="23">
        <f t="shared" si="3"/>
        <v>14.44</v>
      </c>
      <c r="M8" s="23">
        <f t="shared" si="4"/>
        <v>38</v>
      </c>
      <c r="Q8" s="45" t="str">
        <f ca="1">IFERROR(__xludf.DUMMYFUNCTION("FILTER(B2:B25,C2:C25=LARGE(C2:C25,1))"),"Cesu Kirsu Sartais 🇱🇻")</f>
        <v>Cesu Kirsu Sartais 🇱🇻</v>
      </c>
      <c r="R8" s="47" t="str">
        <f ca="1">IFERROR(__xludf.DUMMYFUNCTION("FILTER(B2:B25,D2:D25=LARGE(D2:D25,1))"),"Two captains double ipa 🇳🇴")</f>
        <v>Two captains double ipa 🇳🇴</v>
      </c>
      <c r="S8" s="45" t="str">
        <f ca="1">IFERROR(__xludf.DUMMYFUNCTION("FILTER(B2:B25,E2:E25=LARGE(E2:E25,1))"),"Cesu Kirsu Sartais 🇱🇻")</f>
        <v>Cesu Kirsu Sartais 🇱🇻</v>
      </c>
      <c r="T8" s="45" t="str">
        <f ca="1">IFERROR(__xludf.DUMMYFUNCTION("FILTER(B2:B25,F2:F25=LARGE(F2:F25,1))"),"#N/A")</f>
        <v>#N/A</v>
      </c>
      <c r="U8" s="45" t="str">
        <f ca="1">IFERROR(__xludf.DUMMYFUNCTION("FILTER(B2:B25,H2:H25=LARGE(H2:H25,1))"),"Cesu Kirsu Sartais 🇱🇻")</f>
        <v>Cesu Kirsu Sartais 🇱🇻</v>
      </c>
    </row>
    <row r="9" spans="1:21" ht="14" x14ac:dyDescent="0.3">
      <c r="A9" s="15" t="s">
        <v>39</v>
      </c>
      <c r="B9" s="13" t="s">
        <v>194</v>
      </c>
      <c r="C9" s="14">
        <v>45</v>
      </c>
      <c r="D9" s="20">
        <v>52</v>
      </c>
      <c r="E9" s="17">
        <v>23</v>
      </c>
      <c r="F9" s="18"/>
      <c r="G9" s="21">
        <v>22</v>
      </c>
      <c r="H9" s="94">
        <v>29</v>
      </c>
      <c r="I9" s="22">
        <f t="shared" si="2"/>
        <v>34.200000000000003</v>
      </c>
      <c r="J9" s="23">
        <f t="shared" si="0"/>
        <v>12</v>
      </c>
      <c r="K9" s="23" t="str">
        <f t="shared" si="1"/>
        <v/>
      </c>
      <c r="L9" s="23">
        <f t="shared" si="3"/>
        <v>13.55</v>
      </c>
      <c r="M9" s="23">
        <f t="shared" si="4"/>
        <v>30</v>
      </c>
      <c r="Q9" s="59" t="str">
        <f ca="1">IFERROR(__xludf.DUMMYFUNCTION("FILTER(B2:B25,C2:C25=LARGE(C2:C25,2))"),"Dugges Tropical Stillwater 🇸🇪")</f>
        <v>Dugges Tropical Stillwater 🇸🇪</v>
      </c>
      <c r="R9" s="60" t="str">
        <f ca="1">IFERROR(__xludf.DUMMYFUNCTION("FILTER(B2:B25,D2:D25=LARGE(D2:D25,2))"),"India pale ale american ipa 🇳🇴")</f>
        <v>India pale ale american ipa 🇳🇴</v>
      </c>
      <c r="S9" s="59" t="str">
        <f ca="1">IFERROR(__xludf.DUMMYFUNCTION("FILTER(B2:B25,E2:E25=LARGE(E2:E25,2))"),"1864 Cerveja de Ananas 🇵🇹")</f>
        <v>1864 Cerveja de Ananas 🇵🇹</v>
      </c>
      <c r="T9" s="59" t="str">
        <f ca="1">IFERROR(__xludf.DUMMYFUNCTION("FILTER(B2:B25,F2:F25=LARGE(F2:F25,2))"),"#N/A")</f>
        <v>#N/A</v>
      </c>
      <c r="U9" s="59" t="str">
        <f ca="1">IFERROR(__xludf.DUMMYFUNCTION("FILTER(B2:B25,H2:H25=LARGE(H2:H25,2))"),"#REF!")</f>
        <v>#REF!</v>
      </c>
    </row>
    <row r="10" spans="1:21" ht="14" x14ac:dyDescent="0.3">
      <c r="A10" s="15" t="s">
        <v>45</v>
      </c>
      <c r="B10" s="13" t="s">
        <v>196</v>
      </c>
      <c r="C10" s="14">
        <v>53</v>
      </c>
      <c r="D10" s="20">
        <v>37</v>
      </c>
      <c r="E10" s="17">
        <v>27</v>
      </c>
      <c r="F10" s="18"/>
      <c r="G10" s="21">
        <v>31</v>
      </c>
      <c r="H10" s="94">
        <v>50</v>
      </c>
      <c r="I10" s="22">
        <f t="shared" si="2"/>
        <v>39.6</v>
      </c>
      <c r="J10" s="23">
        <f t="shared" si="0"/>
        <v>9</v>
      </c>
      <c r="K10" s="23" t="str">
        <f t="shared" si="1"/>
        <v/>
      </c>
      <c r="L10" s="23">
        <f t="shared" si="3"/>
        <v>11.48</v>
      </c>
      <c r="M10" s="23">
        <f t="shared" si="4"/>
        <v>26</v>
      </c>
      <c r="Q10" s="64" t="str">
        <f ca="1">IFERROR(__xludf.DUMMYFUNCTION("FILTER(B2:B25,C2:C25=LARGE(C2:C25,3))"),"Singha Lager 🇹🇭")</f>
        <v>Singha Lager 🇹🇭</v>
      </c>
      <c r="R10" s="64" t="str">
        <f ca="1">IFERROR(__xludf.DUMMYFUNCTION("FILTER(B2:B25,D2:D25=LARGE(D2:D25,3))"),"Dugges Tropical Stillwater 🇸🇪")</f>
        <v>Dugges Tropical Stillwater 🇸🇪</v>
      </c>
      <c r="S10" s="64" t="str">
        <f ca="1">IFERROR(__xludf.DUMMYFUNCTION("FILTER(B2:B25,E2:E25=LARGE(E2:E25,3))"),"Jacobsen Brown Ale 🇩🇰")</f>
        <v>Jacobsen Brown Ale 🇩🇰</v>
      </c>
      <c r="T10" s="64" t="str">
        <f ca="1">IFERROR(__xludf.DUMMYFUNCTION("FILTER(B2:B25,F2:F25=LARGE(F2:F25,3))"),"#N/A")</f>
        <v>#N/A</v>
      </c>
      <c r="U10" s="64" t="str">
        <f ca="1">IFERROR(__xludf.DUMMYFUNCTION("FILTER(B2:B25,H2:H25=LARGE(H2:H25,3))"),"Jacobsen Brown Ale 🇩🇰")</f>
        <v>Jacobsen Brown Ale 🇩🇰</v>
      </c>
    </row>
    <row r="11" spans="1:21" ht="13" x14ac:dyDescent="0.3">
      <c r="A11" s="15" t="s">
        <v>51</v>
      </c>
      <c r="B11" s="13" t="s">
        <v>198</v>
      </c>
      <c r="C11" s="14">
        <v>23</v>
      </c>
      <c r="D11" s="20">
        <v>25</v>
      </c>
      <c r="E11" s="17">
        <v>47</v>
      </c>
      <c r="F11" s="18"/>
      <c r="G11" s="21">
        <v>54</v>
      </c>
      <c r="H11" s="94">
        <v>60</v>
      </c>
      <c r="I11" s="22">
        <f t="shared" si="2"/>
        <v>41.8</v>
      </c>
      <c r="J11" s="23">
        <f t="shared" si="0"/>
        <v>4</v>
      </c>
      <c r="K11" s="23" t="str">
        <f t="shared" si="1"/>
        <v/>
      </c>
      <c r="L11" s="23">
        <f t="shared" si="3"/>
        <v>16.899999999999999</v>
      </c>
      <c r="M11" s="23">
        <f t="shared" si="4"/>
        <v>37</v>
      </c>
      <c r="R11" s="23" t="str">
        <f ca="1">IFERROR(__xludf.DUMMYFUNCTION("""COMPUTED_VALUE"""),"Nøgne Ø Tiger tripel 🇳🇴")</f>
        <v>Nøgne Ø Tiger tripel 🇳🇴</v>
      </c>
      <c r="U11" s="23" t="str">
        <f ca="1">IFERROR(__xludf.DUMMYFUNCTION("""COMPUTED_VALUE"""),"Morgana Brygghus Juleøl 🇳🇴")</f>
        <v>Morgana Brygghus Juleøl 🇳🇴</v>
      </c>
    </row>
    <row r="12" spans="1:21" ht="13" x14ac:dyDescent="0.3">
      <c r="A12" s="15" t="s">
        <v>56</v>
      </c>
      <c r="B12" s="13" t="s">
        <v>200</v>
      </c>
      <c r="C12" s="14">
        <v>21</v>
      </c>
      <c r="D12" s="20">
        <v>20</v>
      </c>
      <c r="E12" s="17">
        <v>50</v>
      </c>
      <c r="F12" s="18"/>
      <c r="G12" s="21">
        <v>28</v>
      </c>
      <c r="H12" s="94">
        <v>40</v>
      </c>
      <c r="I12" s="22">
        <f t="shared" si="2"/>
        <v>31.8</v>
      </c>
      <c r="J12" s="23">
        <f t="shared" si="0"/>
        <v>16</v>
      </c>
      <c r="K12" s="23" t="str">
        <f t="shared" si="1"/>
        <v/>
      </c>
      <c r="L12" s="23">
        <f t="shared" ref="L12:L25" si="5">IF(MIN(C12:H12) &gt; 0, STDEV(C12:H12), "")</f>
        <v>12.930583900195693</v>
      </c>
      <c r="M12" s="23">
        <f t="shared" si="4"/>
        <v>30</v>
      </c>
    </row>
    <row r="13" spans="1:21" ht="13" x14ac:dyDescent="0.3">
      <c r="A13" s="15" t="s">
        <v>59</v>
      </c>
      <c r="B13" s="13" t="s">
        <v>202</v>
      </c>
      <c r="C13" s="14">
        <v>14</v>
      </c>
      <c r="D13" s="20">
        <v>18</v>
      </c>
      <c r="E13" s="17">
        <v>24</v>
      </c>
      <c r="F13" s="18"/>
      <c r="G13" s="21">
        <v>11</v>
      </c>
      <c r="H13" s="94">
        <v>0</v>
      </c>
      <c r="I13" s="22" t="str">
        <f t="shared" si="2"/>
        <v/>
      </c>
      <c r="J13" s="23" t="str">
        <f t="shared" si="0"/>
        <v/>
      </c>
      <c r="K13" s="23" t="str">
        <f t="shared" si="1"/>
        <v/>
      </c>
      <c r="L13" s="23" t="str">
        <f t="shared" si="5"/>
        <v/>
      </c>
      <c r="M13" s="23">
        <f t="shared" si="4"/>
        <v>24</v>
      </c>
    </row>
    <row r="14" spans="1:21" ht="13" x14ac:dyDescent="0.3">
      <c r="A14" s="15" t="s">
        <v>63</v>
      </c>
      <c r="B14" s="13" t="s">
        <v>203</v>
      </c>
      <c r="C14" s="14">
        <v>65</v>
      </c>
      <c r="D14" s="20">
        <v>55</v>
      </c>
      <c r="E14" s="17">
        <v>53</v>
      </c>
      <c r="F14" s="18"/>
      <c r="G14" s="21">
        <v>53</v>
      </c>
      <c r="H14" s="94">
        <v>50</v>
      </c>
      <c r="I14" s="22">
        <f t="shared" si="2"/>
        <v>55.2</v>
      </c>
      <c r="J14" s="23">
        <f t="shared" si="0"/>
        <v>2</v>
      </c>
      <c r="K14" s="23" t="e">
        <f>IF(J14&lt;=3,#REF!, "")</f>
        <v>#REF!</v>
      </c>
      <c r="L14" s="23">
        <f t="shared" si="5"/>
        <v>5.7619441163551732</v>
      </c>
      <c r="M14" s="23">
        <f t="shared" si="4"/>
        <v>15</v>
      </c>
    </row>
    <row r="15" spans="1:21" ht="13" x14ac:dyDescent="0.3">
      <c r="A15" s="15" t="s">
        <v>65</v>
      </c>
      <c r="B15" s="13" t="s">
        <v>206</v>
      </c>
      <c r="C15" s="14">
        <v>16</v>
      </c>
      <c r="D15" s="20">
        <v>15</v>
      </c>
      <c r="E15" s="17">
        <v>37</v>
      </c>
      <c r="F15" s="18"/>
      <c r="G15" s="21">
        <v>32</v>
      </c>
      <c r="H15" s="94">
        <v>10</v>
      </c>
      <c r="I15" s="22">
        <f t="shared" si="2"/>
        <v>22</v>
      </c>
      <c r="J15" s="23">
        <f t="shared" si="0"/>
        <v>20</v>
      </c>
      <c r="K15" s="23" t="str">
        <f t="shared" ref="K15:K25" si="6">IF(J15&lt;=3, B15, "")</f>
        <v/>
      </c>
      <c r="L15" s="23">
        <f t="shared" si="5"/>
        <v>11.76860229593982</v>
      </c>
      <c r="M15" s="23">
        <f t="shared" si="4"/>
        <v>27</v>
      </c>
    </row>
    <row r="16" spans="1:21" ht="13" x14ac:dyDescent="0.3">
      <c r="A16" s="15" t="s">
        <v>69</v>
      </c>
      <c r="B16" s="13" t="s">
        <v>208</v>
      </c>
      <c r="C16" s="14">
        <v>69</v>
      </c>
      <c r="D16" s="20">
        <v>39</v>
      </c>
      <c r="E16" s="17">
        <v>69</v>
      </c>
      <c r="F16" s="18"/>
      <c r="G16" s="21">
        <v>67</v>
      </c>
      <c r="H16" s="94">
        <v>69</v>
      </c>
      <c r="I16" s="22">
        <f t="shared" si="2"/>
        <v>62.6</v>
      </c>
      <c r="J16" s="23">
        <f t="shared" si="0"/>
        <v>1</v>
      </c>
      <c r="K16" s="23" t="str">
        <f t="shared" si="6"/>
        <v>Cesu Kirsu Sartais 🇱🇻</v>
      </c>
      <c r="L16" s="23">
        <f t="shared" si="5"/>
        <v>13.221195104830734</v>
      </c>
      <c r="M16" s="23">
        <f t="shared" si="4"/>
        <v>30</v>
      </c>
    </row>
    <row r="17" spans="1:13" ht="13" x14ac:dyDescent="0.3">
      <c r="A17" s="15" t="s">
        <v>71</v>
      </c>
      <c r="B17" s="13" t="s">
        <v>211</v>
      </c>
      <c r="C17" s="14">
        <v>48</v>
      </c>
      <c r="D17" s="20">
        <v>69</v>
      </c>
      <c r="E17" s="17">
        <v>9</v>
      </c>
      <c r="F17" s="18"/>
      <c r="G17" s="21">
        <v>9</v>
      </c>
      <c r="H17" s="94">
        <v>0</v>
      </c>
      <c r="I17" s="22" t="str">
        <f t="shared" si="2"/>
        <v/>
      </c>
      <c r="J17" s="23" t="str">
        <f t="shared" si="0"/>
        <v/>
      </c>
      <c r="K17" s="23" t="str">
        <f t="shared" si="6"/>
        <v/>
      </c>
      <c r="L17" s="23" t="str">
        <f t="shared" si="5"/>
        <v/>
      </c>
      <c r="M17" s="23">
        <f t="shared" si="4"/>
        <v>69</v>
      </c>
    </row>
    <row r="18" spans="1:13" ht="13" x14ac:dyDescent="0.3">
      <c r="A18" s="15" t="s">
        <v>75</v>
      </c>
      <c r="B18" s="13" t="s">
        <v>213</v>
      </c>
      <c r="C18" s="14">
        <v>34</v>
      </c>
      <c r="D18" s="20">
        <v>18</v>
      </c>
      <c r="E18" s="17">
        <v>60</v>
      </c>
      <c r="F18" s="18"/>
      <c r="G18" s="21">
        <v>55</v>
      </c>
      <c r="H18" s="94">
        <v>40</v>
      </c>
      <c r="I18" s="22">
        <f t="shared" si="2"/>
        <v>41.4</v>
      </c>
      <c r="J18" s="23">
        <f t="shared" si="0"/>
        <v>5</v>
      </c>
      <c r="K18" s="23" t="str">
        <f t="shared" si="6"/>
        <v/>
      </c>
      <c r="L18" s="23">
        <f t="shared" si="5"/>
        <v>16.846364592991574</v>
      </c>
      <c r="M18" s="23">
        <f t="shared" si="4"/>
        <v>42</v>
      </c>
    </row>
    <row r="19" spans="1:13" ht="13" x14ac:dyDescent="0.3">
      <c r="A19" s="15" t="s">
        <v>78</v>
      </c>
      <c r="B19" s="13" t="s">
        <v>216</v>
      </c>
      <c r="C19" s="14">
        <v>39</v>
      </c>
      <c r="D19" s="20">
        <v>65</v>
      </c>
      <c r="E19" s="17">
        <v>7</v>
      </c>
      <c r="F19" s="18"/>
      <c r="G19" s="21">
        <v>13</v>
      </c>
      <c r="H19" s="94">
        <v>2</v>
      </c>
      <c r="I19" s="22">
        <f t="shared" si="2"/>
        <v>25.2</v>
      </c>
      <c r="J19" s="23">
        <f t="shared" si="0"/>
        <v>19</v>
      </c>
      <c r="K19" s="23" t="str">
        <f t="shared" si="6"/>
        <v/>
      </c>
      <c r="L19" s="23">
        <f t="shared" si="5"/>
        <v>26.423474411969369</v>
      </c>
      <c r="M19" s="23">
        <f t="shared" si="4"/>
        <v>63</v>
      </c>
    </row>
    <row r="20" spans="1:13" ht="13" x14ac:dyDescent="0.3">
      <c r="A20" s="15" t="s">
        <v>82</v>
      </c>
      <c r="B20" s="13" t="s">
        <v>218</v>
      </c>
      <c r="C20" s="14">
        <v>47</v>
      </c>
      <c r="D20" s="20">
        <v>17</v>
      </c>
      <c r="E20" s="17">
        <v>50</v>
      </c>
      <c r="F20" s="18"/>
      <c r="G20" s="21">
        <v>43</v>
      </c>
      <c r="H20" s="94">
        <v>5</v>
      </c>
      <c r="I20" s="22">
        <f t="shared" si="2"/>
        <v>32.4</v>
      </c>
      <c r="J20" s="23">
        <f t="shared" si="0"/>
        <v>14</v>
      </c>
      <c r="K20" s="23" t="str">
        <f t="shared" si="6"/>
        <v/>
      </c>
      <c r="L20" s="23">
        <f t="shared" si="5"/>
        <v>20.144478151592807</v>
      </c>
      <c r="M20" s="23">
        <f t="shared" si="4"/>
        <v>45</v>
      </c>
    </row>
    <row r="21" spans="1:13" ht="13" x14ac:dyDescent="0.3">
      <c r="A21" s="15" t="s">
        <v>87</v>
      </c>
      <c r="B21" s="13" t="s">
        <v>220</v>
      </c>
      <c r="C21" s="14">
        <v>18</v>
      </c>
      <c r="D21" s="20">
        <v>55</v>
      </c>
      <c r="E21" s="17">
        <v>2</v>
      </c>
      <c r="F21" s="18"/>
      <c r="G21" s="21">
        <v>5</v>
      </c>
      <c r="H21" s="94">
        <v>7</v>
      </c>
      <c r="I21" s="22">
        <f t="shared" si="2"/>
        <v>17.399999999999999</v>
      </c>
      <c r="J21" s="23">
        <f t="shared" si="0"/>
        <v>22</v>
      </c>
      <c r="K21" s="23" t="str">
        <f t="shared" si="6"/>
        <v/>
      </c>
      <c r="L21" s="23">
        <f t="shared" si="5"/>
        <v>21.87007087322764</v>
      </c>
      <c r="M21" s="23">
        <f t="shared" si="4"/>
        <v>53</v>
      </c>
    </row>
    <row r="22" spans="1:13" ht="13" x14ac:dyDescent="0.3">
      <c r="A22" s="15" t="s">
        <v>92</v>
      </c>
      <c r="B22" s="13" t="s">
        <v>221</v>
      </c>
      <c r="C22" s="14">
        <v>31</v>
      </c>
      <c r="D22" s="20">
        <v>18</v>
      </c>
      <c r="E22" s="17">
        <v>19</v>
      </c>
      <c r="F22" s="18"/>
      <c r="G22" s="21">
        <v>30</v>
      </c>
      <c r="H22" s="94">
        <v>44</v>
      </c>
      <c r="I22" s="22">
        <f t="shared" si="2"/>
        <v>28.4</v>
      </c>
      <c r="J22" s="23">
        <f t="shared" si="0"/>
        <v>18</v>
      </c>
      <c r="K22" s="23" t="str">
        <f t="shared" si="6"/>
        <v/>
      </c>
      <c r="L22" s="23">
        <f t="shared" si="5"/>
        <v>10.597169433391162</v>
      </c>
      <c r="M22" s="23">
        <f t="shared" si="4"/>
        <v>26</v>
      </c>
    </row>
    <row r="23" spans="1:13" ht="13" x14ac:dyDescent="0.3">
      <c r="A23" s="15" t="s">
        <v>95</v>
      </c>
      <c r="B23" s="13" t="s">
        <v>223</v>
      </c>
      <c r="C23" s="14">
        <v>5</v>
      </c>
      <c r="D23" s="20">
        <v>23</v>
      </c>
      <c r="E23" s="17">
        <v>38</v>
      </c>
      <c r="F23" s="18"/>
      <c r="G23" s="21">
        <v>27</v>
      </c>
      <c r="H23" s="94">
        <v>5</v>
      </c>
      <c r="I23" s="22">
        <f t="shared" si="2"/>
        <v>19.600000000000001</v>
      </c>
      <c r="J23" s="23">
        <f t="shared" si="0"/>
        <v>21</v>
      </c>
      <c r="K23" s="23" t="str">
        <f t="shared" si="6"/>
        <v/>
      </c>
      <c r="L23" s="23">
        <f t="shared" si="5"/>
        <v>14.415269681833914</v>
      </c>
      <c r="M23" s="23">
        <f t="shared" si="4"/>
        <v>33</v>
      </c>
    </row>
    <row r="24" spans="1:13" ht="13" x14ac:dyDescent="0.3">
      <c r="A24" s="15" t="s">
        <v>99</v>
      </c>
      <c r="B24" s="13" t="s">
        <v>225</v>
      </c>
      <c r="C24" s="14">
        <v>50</v>
      </c>
      <c r="D24" s="20">
        <v>35</v>
      </c>
      <c r="E24" s="17">
        <v>43</v>
      </c>
      <c r="F24" s="18"/>
      <c r="G24" s="21">
        <v>34</v>
      </c>
      <c r="H24" s="94">
        <v>42</v>
      </c>
      <c r="I24" s="22">
        <f t="shared" si="2"/>
        <v>40.799999999999997</v>
      </c>
      <c r="J24" s="23">
        <f t="shared" si="0"/>
        <v>8</v>
      </c>
      <c r="K24" s="23" t="str">
        <f t="shared" si="6"/>
        <v/>
      </c>
      <c r="L24" s="23">
        <f t="shared" si="5"/>
        <v>6.5345237010818025</v>
      </c>
      <c r="M24" s="23">
        <f t="shared" si="4"/>
        <v>16</v>
      </c>
    </row>
    <row r="25" spans="1:13" ht="13" x14ac:dyDescent="0.3">
      <c r="A25" s="15" t="s">
        <v>106</v>
      </c>
      <c r="B25" s="13" t="s">
        <v>226</v>
      </c>
      <c r="C25" s="14">
        <v>41</v>
      </c>
      <c r="D25" s="20">
        <v>40</v>
      </c>
      <c r="E25" s="17">
        <v>34</v>
      </c>
      <c r="F25" s="18"/>
      <c r="G25" s="21">
        <v>17</v>
      </c>
      <c r="H25" s="94">
        <v>20</v>
      </c>
      <c r="I25" s="22">
        <f t="shared" si="2"/>
        <v>30.4</v>
      </c>
      <c r="J25" s="23">
        <f t="shared" si="0"/>
        <v>17</v>
      </c>
      <c r="K25" s="23" t="str">
        <f t="shared" si="6"/>
        <v/>
      </c>
      <c r="L25" s="23">
        <f t="shared" si="5"/>
        <v>11.238327277669038</v>
      </c>
      <c r="M25" s="23">
        <f t="shared" si="4"/>
        <v>24</v>
      </c>
    </row>
    <row r="26" spans="1:13" ht="24" customHeight="1" x14ac:dyDescent="0.3">
      <c r="A26" s="36"/>
      <c r="B26" s="37" t="s">
        <v>111</v>
      </c>
      <c r="C26" s="53">
        <f t="shared" ref="C26:F26" si="7">AVERAGEIF(C2:C25, "&gt;1")</f>
        <v>35.916666666666664</v>
      </c>
      <c r="D26" s="53">
        <f t="shared" si="7"/>
        <v>35.083333333333336</v>
      </c>
      <c r="E26" s="53">
        <f t="shared" si="7"/>
        <v>37.041666666666664</v>
      </c>
      <c r="F26" s="53" t="e">
        <f t="shared" si="7"/>
        <v>#DIV/0!</v>
      </c>
      <c r="G26" s="53"/>
      <c r="H26" s="53">
        <f>AVERAGEIF(H2:H25, "&gt;1")</f>
        <v>33.636363636363633</v>
      </c>
      <c r="I26" s="44">
        <f>AVERAGE(I2:I25)</f>
        <v>36.190909090909088</v>
      </c>
      <c r="J26" s="23"/>
      <c r="K26" s="23"/>
      <c r="L26" s="23"/>
      <c r="M26" s="23"/>
    </row>
    <row r="27" spans="1:13" ht="27" customHeight="1" x14ac:dyDescent="0.25">
      <c r="B27" s="23" t="s">
        <v>166</v>
      </c>
      <c r="C27" s="23" t="str">
        <f ca="1">IFERROR(__xludf.DUMMYFUNCTION("IFERROR(INDEX(FILTER($B$2:$B$25, C2:C25 = LARGE(C2:C25, 1)), 2), INDEX(FILTER($B$2:$B$25, C2:C25 = LARGE(C2:C25, 1)), 1))
"),"Cesu Kirsu Sartais 🇱🇻")</f>
        <v>Cesu Kirsu Sartais 🇱🇻</v>
      </c>
      <c r="D27" s="23" t="str">
        <f ca="1">IFERROR(__xludf.DUMMYFUNCTION("IFERROR(INDEX(FILTER($B$2:$B$25, D2:D25 = LARGE(D2:D25, 1)), 1), INDEX(FILTER($B$2:$B$25, D2:D25 = LARGE(D2:D25, 1)), 1))
"),"Two captains double ipa 🇳🇴")</f>
        <v>Two captains double ipa 🇳🇴</v>
      </c>
      <c r="E27" s="23" t="str">
        <f ca="1">IFERROR(__xludf.DUMMYFUNCTION("IFERROR(INDEX(FILTER($B$2:$B$25, E2:E25 = LARGE(E2:E25, 1)), 2), INDEX(FILTER($B$2:$B$25, E2:E25 = LARGE(E2:E25, 1)), 1))
"),"Cesu Kirsu Sartais 🇱🇻")</f>
        <v>Cesu Kirsu Sartais 🇱🇻</v>
      </c>
      <c r="F27" s="23" t="str">
        <f ca="1">IFERROR(__xludf.DUMMYFUNCTION("IFERROR(INDEX(FILTER($B$2:$B$25, F2:F25 = LARGE(F2:F25, 1)), 2), INDEX(FILTER($B$2:$B$25, F2:F25 = LARGE(F2:F25, 1)), 1))
"),"#N/A")</f>
        <v>#N/A</v>
      </c>
      <c r="G27" s="23"/>
      <c r="H27" s="23" t="str">
        <f ca="1">IFERROR(__xludf.DUMMYFUNCTION("IFERROR(INDEX(FILTER($B$2:$B$25, H2:H25 = LARGE(H2:H25, 1)), 1), INDEX(FILTER($B$2:$B$25, H2:H25 = LARGE(H2:H25, 1)), 1))
"),"Cesu Kirsu Sartais 🇱🇻")</f>
        <v>Cesu Kirsu Sartais 🇱🇻</v>
      </c>
    </row>
    <row r="28" spans="1:13" ht="21.75" customHeight="1" x14ac:dyDescent="0.25">
      <c r="B28" s="23" t="s">
        <v>167</v>
      </c>
      <c r="C28" s="23" t="str">
        <f ca="1">IFERROR(__xludf.DUMMYFUNCTION("IFERROR(INDEX(FILTER($B$2:$B$25, C2:C25 = LARGE(C2:C25, 2)), 2), INDEX(FILTER($B$2:$B$25, C2:C25 = LARGE(C2:C25, 2)), 1))
"),"Dugges Tropical Stillwater 🇸🇪")</f>
        <v>Dugges Tropical Stillwater 🇸🇪</v>
      </c>
      <c r="D28" s="23" t="str">
        <f ca="1">IFERROR(__xludf.DUMMYFUNCTION("IFERROR(INDEX(FILTER($B$2:$B$25, D2:D25 = LARGE(D2:D25, 2)), 2), INDEX(FILTER($B$2:$B$25, D2:D25 = LARGE(D2:D25, 2)), 1))
"),"India pale ale american ipa 🇳🇴")</f>
        <v>India pale ale american ipa 🇳🇴</v>
      </c>
      <c r="E28" s="23" t="str">
        <f ca="1">IFERROR(__xludf.DUMMYFUNCTION("IFERROR(INDEX(FILTER($B$2:$B$25, E2:E25 = LARGE(E2:E25, 2)), 2), INDEX(FILTER($B$2:$B$25, E2:E25 = LARGE(E2:E25, 2)), 1))
"),"1864 Cerveja de Ananas 🇵🇹")</f>
        <v>1864 Cerveja de Ananas 🇵🇹</v>
      </c>
      <c r="F28" s="23" t="str">
        <f ca="1">IFERROR(__xludf.DUMMYFUNCTION("IFERROR(INDEX(FILTER($B$2:$B$25, F2:F25 = LARGE(F2:F25, 2)), 3), INDEX(FILTER($B$2:$B$25, F2:F25 = LARGE(F2:F25, 2)), 1))
"),"#N/A")</f>
        <v>#N/A</v>
      </c>
      <c r="H28" s="23" t="str">
        <f ca="1">IFERROR(__xludf.DUMMYFUNCTION("IFERROR(INDEX(FILTER($B$2:$B$25, H2:H25 = LARGE(H2:H25, 2)), 2), INDEX(FILTER($B$2:$B$25, H2:H25 = LARGE(H2:H25, 2)), 1))
"),"Morgana Brygghus Juleøl 🇳🇴")</f>
        <v>Morgana Brygghus Juleøl 🇳🇴</v>
      </c>
    </row>
    <row r="29" spans="1:13" ht="21.75" customHeight="1" x14ac:dyDescent="0.25">
      <c r="B29" s="23" t="s">
        <v>172</v>
      </c>
      <c r="C29" s="23" t="str">
        <f ca="1">IFERROR(__xludf.DUMMYFUNCTION("IFERROR(INDEX(FILTER($B$2:$B$25, C2:C25 = LARGE(C2:C25, 3)), 2), INDEX(FILTER($B$2:$B$25, C2:C25 = LARGE(C2:C25, 3)), 1))
"),"Singha Lager 🇹🇭")</f>
        <v>Singha Lager 🇹🇭</v>
      </c>
      <c r="D29" s="23" t="str">
        <f ca="1">IFERROR(__xludf.DUMMYFUNCTION("IFERROR(INDEX(FILTER($B$2:$B$25, D2:D25 = LARGE(D2:D25, 3)), 3), INDEX(FILTER($B$2:$B$25, D2:D25 = LARGE(D2:D25, 3)), 1))
"),"Dugges Tropical Stillwater 🇸🇪")</f>
        <v>Dugges Tropical Stillwater 🇸🇪</v>
      </c>
      <c r="E29" s="23" t="str">
        <f ca="1">IFERROR(__xludf.DUMMYFUNCTION("IFERROR(INDEX(FILTER($B$2:$B$25, E2:E25 = LARGE(E2:E25, 3)), 2), INDEX(FILTER($B$2:$B$25, E2:E25 = LARGE(E2:E25, 3)), 1))
"),"Jacobsen Brown Ale 🇩🇰")</f>
        <v>Jacobsen Brown Ale 🇩🇰</v>
      </c>
      <c r="F29" s="23" t="str">
        <f ca="1">IFERROR(__xludf.DUMMYFUNCTION("IFERROR(INDEX(FILTER($B$2:$B$25, F2:F25 = LARGE(F2:F25, 3)), 2), INDEX(FILTER($B$2:$B$25, F2:F25 = LARGE(F2:F25, 3)), 1))
"),"#N/A")</f>
        <v>#N/A</v>
      </c>
      <c r="H29" s="23" t="str">
        <f ca="1">IFERROR(__xludf.DUMMYFUNCTION("IFERROR(INDEX(FILTER($B$2:$B$25, H2:H25 = LARGE(H2:H25, 3)), 2), INDEX(FILTER($B$2:$B$25, H2:H25 = LARGE(H2:H25, 3)), 1))
"),"Morgana Brygghus Juleøl 🇳🇴")</f>
        <v>Morgana Brygghus Juleøl 🇳🇴</v>
      </c>
    </row>
    <row r="30" spans="1:13" ht="23.25" customHeight="1" x14ac:dyDescent="0.25">
      <c r="B30" s="23" t="s">
        <v>177</v>
      </c>
      <c r="C30" s="23">
        <f t="shared" ref="C30:F30" si="8">MAXA(C2:C25) - MIN(C2:C25)</f>
        <v>64</v>
      </c>
      <c r="D30" s="23">
        <f t="shared" si="8"/>
        <v>54</v>
      </c>
      <c r="E30" s="23">
        <f t="shared" si="8"/>
        <v>67</v>
      </c>
      <c r="F30" s="23">
        <f t="shared" si="8"/>
        <v>0</v>
      </c>
      <c r="H30" s="23">
        <f t="shared" ref="H30:I30" si="9">MAXA(H2:H25) - MIN(H2:H25)</f>
        <v>69</v>
      </c>
      <c r="I30" s="92">
        <f t="shared" si="9"/>
        <v>45.2</v>
      </c>
    </row>
    <row r="31" spans="1:13" ht="12.5" x14ac:dyDescent="0.25">
      <c r="B31" s="23" t="s">
        <v>178</v>
      </c>
    </row>
    <row r="32" spans="1:13" ht="12.5" x14ac:dyDescent="0.25">
      <c r="E32" s="68"/>
      <c r="F32" s="68"/>
      <c r="G32" s="68"/>
      <c r="H32" s="68"/>
      <c r="I32" s="68"/>
    </row>
    <row r="33" spans="1:9" ht="12.5" x14ac:dyDescent="0.25">
      <c r="E33" s="68"/>
      <c r="F33" s="68"/>
      <c r="G33" s="68"/>
      <c r="H33" s="68"/>
      <c r="I33" s="68"/>
    </row>
    <row r="36" spans="1:9" ht="18" x14ac:dyDescent="0.4">
      <c r="A36" s="49"/>
      <c r="B36" s="106" t="s">
        <v>179</v>
      </c>
      <c r="C36" s="97"/>
      <c r="D36" s="98"/>
    </row>
    <row r="37" spans="1:9" ht="14" x14ac:dyDescent="0.3">
      <c r="A37" s="52"/>
      <c r="B37" s="45" t="str">
        <f ca="1">IFERROR(__xludf.DUMMYFUNCTION("FILTER(B2:B25,I2:I25=LARGE(I2:I25,1))"),"Cesu Kirsu Sartais 🇱🇻")</f>
        <v>Cesu Kirsu Sartais 🇱🇻</v>
      </c>
      <c r="C37" s="99">
        <f>LARGE(I2:I25,1)</f>
        <v>62.6</v>
      </c>
      <c r="D37" s="100"/>
    </row>
    <row r="38" spans="1:9" ht="14" x14ac:dyDescent="0.3">
      <c r="A38" s="57"/>
      <c r="B38" s="59" t="str">
        <f ca="1">IFERROR(__xludf.DUMMYFUNCTION("FILTER(B2:B25,I2:I25=LARGE(I2:I25,2))"),"Dugges Tropical Stillwater 🇸🇪")</f>
        <v>Dugges Tropical Stillwater 🇸🇪</v>
      </c>
      <c r="C38" s="101">
        <f>LARGE(I2:I25,2)</f>
        <v>55.2</v>
      </c>
      <c r="D38" s="100"/>
    </row>
    <row r="39" spans="1:9" ht="14" x14ac:dyDescent="0.3">
      <c r="A39" s="62"/>
      <c r="B39" s="64" t="str">
        <f ca="1">IFERROR(__xludf.DUMMYFUNCTION("FILTER(B2:B25,I2:I25=LARGE(I2:I25,3))"),"Singha Lager 🇹🇭")</f>
        <v>Singha Lager 🇹🇭</v>
      </c>
      <c r="C39" s="102">
        <f>LARGE(I2:I25,3)</f>
        <v>49</v>
      </c>
      <c r="D39" s="103"/>
    </row>
    <row r="67" spans="3:8" ht="22.5" x14ac:dyDescent="0.45">
      <c r="C67" s="4" t="s">
        <v>3</v>
      </c>
      <c r="D67" s="6" t="s">
        <v>4</v>
      </c>
      <c r="E67" s="7" t="s">
        <v>5</v>
      </c>
      <c r="F67" s="8" t="s">
        <v>6</v>
      </c>
      <c r="G67" s="95"/>
      <c r="H67" s="78" t="s">
        <v>7</v>
      </c>
    </row>
  </sheetData>
  <mergeCells count="4">
    <mergeCell ref="B36:D36"/>
    <mergeCell ref="C37:D37"/>
    <mergeCell ref="C38:D38"/>
    <mergeCell ref="C39:D39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67"/>
  <sheetViews>
    <sheetView tabSelected="1" workbookViewId="0"/>
  </sheetViews>
  <sheetFormatPr defaultColWidth="12.6328125" defaultRowHeight="15.75" customHeight="1" x14ac:dyDescent="0.25"/>
  <cols>
    <col min="1" max="1" width="13.453125" customWidth="1"/>
    <col min="2" max="2" width="35.7265625" customWidth="1"/>
    <col min="3" max="3" width="20.08984375" customWidth="1"/>
    <col min="4" max="4" width="17.36328125" customWidth="1"/>
    <col min="5" max="5" width="19" customWidth="1"/>
    <col min="6" max="6" width="19.6328125" customWidth="1"/>
    <col min="7" max="7" width="14" customWidth="1"/>
    <col min="8" max="8" width="18.7265625" customWidth="1"/>
    <col min="10" max="10" width="29" customWidth="1"/>
    <col min="11" max="11" width="20" customWidth="1"/>
    <col min="16" max="16" width="23.26953125" customWidth="1"/>
    <col min="17" max="17" width="21.36328125" customWidth="1"/>
    <col min="18" max="18" width="22.26953125" customWidth="1"/>
    <col min="19" max="19" width="21.453125" customWidth="1"/>
    <col min="20" max="20" width="23.08984375" customWidth="1"/>
    <col min="21" max="21" width="23.453125" customWidth="1"/>
    <col min="22" max="22" width="21.90625" customWidth="1"/>
    <col min="23" max="23" width="22.08984375" customWidth="1"/>
    <col min="24" max="24" width="23.453125" customWidth="1"/>
  </cols>
  <sheetData>
    <row r="1" spans="1:24" ht="36.75" customHeight="1" x14ac:dyDescent="0.45">
      <c r="A1" s="2" t="s">
        <v>0</v>
      </c>
      <c r="B1" s="5" t="s">
        <v>25</v>
      </c>
      <c r="C1" s="4" t="s">
        <v>3</v>
      </c>
      <c r="D1" s="6" t="s">
        <v>4</v>
      </c>
      <c r="E1" s="7" t="s">
        <v>5</v>
      </c>
      <c r="F1" s="8" t="s">
        <v>6</v>
      </c>
      <c r="G1" s="9" t="s">
        <v>7</v>
      </c>
      <c r="H1" s="10" t="s">
        <v>9</v>
      </c>
      <c r="I1" s="28" t="s">
        <v>47</v>
      </c>
      <c r="J1" s="28" t="s">
        <v>48</v>
      </c>
      <c r="K1" s="12" t="s">
        <v>52</v>
      </c>
      <c r="L1" s="12" t="s">
        <v>54</v>
      </c>
    </row>
    <row r="2" spans="1:24" ht="13" x14ac:dyDescent="0.3">
      <c r="A2" s="15" t="s">
        <v>11</v>
      </c>
      <c r="B2" s="13" t="s">
        <v>181</v>
      </c>
      <c r="C2" s="14">
        <v>60</v>
      </c>
      <c r="D2" s="20">
        <v>65</v>
      </c>
      <c r="E2" s="17">
        <v>23</v>
      </c>
      <c r="F2" s="18">
        <v>63</v>
      </c>
      <c r="G2" s="21">
        <v>28</v>
      </c>
      <c r="H2" s="22">
        <f t="shared" ref="H2:H25" si="0">IF(MIN(C2:G2)&gt;0, AVERAGE(C2:G2), "")</f>
        <v>47.8</v>
      </c>
      <c r="I2" s="23">
        <f t="shared" ref="I2:I25" si="1">IF(H2 &gt; 0, IFERROR(RANK(H2, $H$2:$H$25, FALSE), ""), "")</f>
        <v>6</v>
      </c>
      <c r="J2" s="23" t="str">
        <f t="shared" ref="J2:J25" si="2">IF(I2&lt;=3, B2, "")</f>
        <v/>
      </c>
      <c r="K2" s="23">
        <f t="shared" ref="K2:K11" si="3">IF(MIN(C2:G2) &gt; 0, ROUND(STDEV(C2:G2), 2), "")</f>
        <v>20.51</v>
      </c>
      <c r="L2" s="23">
        <f t="shared" ref="L2:L25" si="4">IF(MAXA(C2:G2)&gt;0, MAXA(C2:G2) - MINA(C2:G2), "")</f>
        <v>42</v>
      </c>
    </row>
    <row r="3" spans="1:24" ht="13" x14ac:dyDescent="0.3">
      <c r="A3" s="15" t="s">
        <v>16</v>
      </c>
      <c r="B3" s="13" t="s">
        <v>183</v>
      </c>
      <c r="C3" s="14">
        <v>2</v>
      </c>
      <c r="D3" s="20">
        <v>15</v>
      </c>
      <c r="E3" s="17">
        <v>32</v>
      </c>
      <c r="F3" s="18">
        <v>6</v>
      </c>
      <c r="G3" s="21">
        <v>29</v>
      </c>
      <c r="H3" s="22">
        <f t="shared" si="0"/>
        <v>16.8</v>
      </c>
      <c r="I3" s="23">
        <f t="shared" si="1"/>
        <v>22</v>
      </c>
      <c r="J3" s="23" t="str">
        <f t="shared" si="2"/>
        <v/>
      </c>
      <c r="K3" s="23">
        <f t="shared" si="3"/>
        <v>13.41</v>
      </c>
      <c r="L3" s="23">
        <f t="shared" si="4"/>
        <v>30</v>
      </c>
    </row>
    <row r="4" spans="1:24" ht="13" x14ac:dyDescent="0.3">
      <c r="A4" s="15" t="s">
        <v>19</v>
      </c>
      <c r="B4" s="13" t="s">
        <v>184</v>
      </c>
      <c r="C4" s="14">
        <v>57</v>
      </c>
      <c r="D4" s="20">
        <v>45</v>
      </c>
      <c r="E4" s="17">
        <v>38</v>
      </c>
      <c r="F4" s="18">
        <v>69</v>
      </c>
      <c r="G4" s="21">
        <v>33</v>
      </c>
      <c r="H4" s="22">
        <f t="shared" si="0"/>
        <v>48.4</v>
      </c>
      <c r="I4" s="23">
        <f t="shared" si="1"/>
        <v>5</v>
      </c>
      <c r="J4" s="23" t="str">
        <f t="shared" si="2"/>
        <v/>
      </c>
      <c r="K4" s="23">
        <f t="shared" si="3"/>
        <v>14.62</v>
      </c>
      <c r="L4" s="23">
        <f t="shared" si="4"/>
        <v>36</v>
      </c>
    </row>
    <row r="5" spans="1:24" ht="13" x14ac:dyDescent="0.3">
      <c r="A5" s="15" t="s">
        <v>23</v>
      </c>
      <c r="B5" s="13" t="s">
        <v>186</v>
      </c>
      <c r="C5" s="14">
        <v>65</v>
      </c>
      <c r="D5" s="20">
        <v>42</v>
      </c>
      <c r="E5" s="17">
        <v>39</v>
      </c>
      <c r="F5" s="18">
        <v>50</v>
      </c>
      <c r="G5" s="21">
        <v>35</v>
      </c>
      <c r="H5" s="22">
        <f t="shared" si="0"/>
        <v>46.2</v>
      </c>
      <c r="I5" s="23">
        <f t="shared" si="1"/>
        <v>7</v>
      </c>
      <c r="J5" s="23" t="str">
        <f t="shared" si="2"/>
        <v/>
      </c>
      <c r="K5" s="23">
        <f t="shared" si="3"/>
        <v>11.86</v>
      </c>
      <c r="L5" s="23">
        <f t="shared" si="4"/>
        <v>30</v>
      </c>
    </row>
    <row r="6" spans="1:24" ht="13" x14ac:dyDescent="0.3">
      <c r="A6" s="15" t="s">
        <v>28</v>
      </c>
      <c r="B6" s="13" t="s">
        <v>188</v>
      </c>
      <c r="C6" s="14">
        <v>65</v>
      </c>
      <c r="D6" s="20">
        <v>18</v>
      </c>
      <c r="E6" s="17">
        <v>69</v>
      </c>
      <c r="F6" s="18">
        <v>59</v>
      </c>
      <c r="G6" s="21">
        <v>69</v>
      </c>
      <c r="H6" s="22">
        <f t="shared" si="0"/>
        <v>56</v>
      </c>
      <c r="I6" s="23">
        <f t="shared" si="1"/>
        <v>2</v>
      </c>
      <c r="J6" s="23" t="str">
        <f t="shared" si="2"/>
        <v>Bruza Kirsu Sartais</v>
      </c>
      <c r="K6" s="23">
        <f t="shared" si="3"/>
        <v>21.63</v>
      </c>
      <c r="L6" s="23">
        <f t="shared" si="4"/>
        <v>51</v>
      </c>
    </row>
    <row r="7" spans="1:24" ht="18" customHeight="1" x14ac:dyDescent="0.45">
      <c r="A7" s="15" t="s">
        <v>31</v>
      </c>
      <c r="B7" s="13" t="s">
        <v>190</v>
      </c>
      <c r="C7" s="14">
        <v>26</v>
      </c>
      <c r="D7" s="20">
        <v>34</v>
      </c>
      <c r="E7" s="17">
        <v>45</v>
      </c>
      <c r="F7" s="18">
        <v>37</v>
      </c>
      <c r="G7" s="21">
        <v>51</v>
      </c>
      <c r="H7" s="22">
        <f t="shared" si="0"/>
        <v>38.6</v>
      </c>
      <c r="I7" s="23">
        <f t="shared" si="1"/>
        <v>13</v>
      </c>
      <c r="J7" s="23" t="str">
        <f t="shared" si="2"/>
        <v/>
      </c>
      <c r="K7" s="23">
        <f t="shared" si="3"/>
        <v>9.7100000000000009</v>
      </c>
      <c r="L7" s="23">
        <f t="shared" si="4"/>
        <v>25</v>
      </c>
      <c r="P7" s="38" t="s">
        <v>3</v>
      </c>
      <c r="Q7" s="6" t="s">
        <v>4</v>
      </c>
      <c r="R7" s="7" t="s">
        <v>5</v>
      </c>
      <c r="S7" s="8" t="s">
        <v>6</v>
      </c>
      <c r="T7" s="9" t="s">
        <v>7</v>
      </c>
      <c r="U7" s="24" t="s">
        <v>35</v>
      </c>
      <c r="V7" s="25" t="s">
        <v>40</v>
      </c>
      <c r="W7" s="26" t="s">
        <v>43</v>
      </c>
      <c r="X7" s="27" t="s">
        <v>44</v>
      </c>
    </row>
    <row r="8" spans="1:24" ht="14" x14ac:dyDescent="0.3">
      <c r="A8" s="15" t="s">
        <v>36</v>
      </c>
      <c r="B8" s="13" t="s">
        <v>193</v>
      </c>
      <c r="C8" s="14">
        <v>48</v>
      </c>
      <c r="D8" s="20">
        <v>40</v>
      </c>
      <c r="E8" s="17">
        <v>43</v>
      </c>
      <c r="F8" s="18">
        <v>63</v>
      </c>
      <c r="G8" s="21">
        <v>49</v>
      </c>
      <c r="H8" s="22">
        <f t="shared" si="0"/>
        <v>48.6</v>
      </c>
      <c r="I8" s="23">
        <f t="shared" si="1"/>
        <v>4</v>
      </c>
      <c r="J8" s="23" t="str">
        <f t="shared" si="2"/>
        <v/>
      </c>
      <c r="K8" s="23">
        <f t="shared" si="3"/>
        <v>8.85</v>
      </c>
      <c r="L8" s="23">
        <f t="shared" si="4"/>
        <v>23</v>
      </c>
      <c r="P8" s="45" t="str">
        <f ca="1">IFERROR(__xludf.DUMMYFUNCTION("FILTER(B2:B25,C2:C25=LARGE(C2:C25,1))"),"Framboise Boon")</f>
        <v>Framboise Boon</v>
      </c>
      <c r="Q8" s="47" t="str">
        <f ca="1">IFERROR(__xludf.DUMMYFUNCTION("FILTER(B2:B25,D2:D25=LARGE(D2:D25,1))"),"Nordstjerna IPA")</f>
        <v>Nordstjerna IPA</v>
      </c>
      <c r="R8" s="45" t="str">
        <f ca="1">IFERROR(__xludf.DUMMYFUNCTION("FILTER(B2:B25,E2:E25=LARGE(E2:E25,1))"),"Bruza Kirsu Sartais")</f>
        <v>Bruza Kirsu Sartais</v>
      </c>
      <c r="S8" s="45" t="str">
        <f ca="1">IFERROR(__xludf.DUMMYFUNCTION("FILTER(B2:B25,F2:F25=LARGE(F2:F25,1))"),"Global/Hoppy Pale Ale")</f>
        <v>Global/Hoppy Pale Ale</v>
      </c>
      <c r="T8" s="45" t="str">
        <f ca="1">IFERROR(__xludf.DUMMYFUNCTION("FILTER(B2:B25,G2:G25=LARGE(G2:G25,1))"),"Bruza Kirsu Sartais")</f>
        <v>Bruza Kirsu Sartais</v>
      </c>
      <c r="U8" s="45" t="str">
        <f ca="1">IFERROR(__xludf.DUMMYFUNCTION("FILTER(B2:B25,#REF!=LARGE(#REF!,1))"),"#N/A")</f>
        <v>#N/A</v>
      </c>
      <c r="V8" s="45" t="str">
        <f ca="1">IFERROR(__xludf.DUMMYFUNCTION("FILTER(B2:B25,#REF!=LARGE(#REF!,1))"),"#N/A")</f>
        <v>#N/A</v>
      </c>
      <c r="W8" s="45" t="str">
        <f ca="1">IFERROR(__xludf.DUMMYFUNCTION("FILTER(B2:B25,#REF!=LARGE(#REF!,1))"),"#N/A")</f>
        <v>#N/A</v>
      </c>
      <c r="X8" s="45" t="str">
        <f ca="1">IFERROR(__xludf.DUMMYFUNCTION("FILTER(B2:B25,#REF!=LARGE(#REF!,1))"),"#N/A")</f>
        <v>#N/A</v>
      </c>
    </row>
    <row r="9" spans="1:24" ht="14" x14ac:dyDescent="0.3">
      <c r="A9" s="15" t="s">
        <v>39</v>
      </c>
      <c r="B9" s="13" t="s">
        <v>195</v>
      </c>
      <c r="C9" s="14">
        <v>44</v>
      </c>
      <c r="D9" s="20">
        <v>32</v>
      </c>
      <c r="E9" s="17">
        <v>35</v>
      </c>
      <c r="F9" s="18">
        <v>29</v>
      </c>
      <c r="G9" s="21">
        <v>30</v>
      </c>
      <c r="H9" s="22">
        <f t="shared" si="0"/>
        <v>34</v>
      </c>
      <c r="I9" s="23">
        <f t="shared" si="1"/>
        <v>18</v>
      </c>
      <c r="J9" s="23" t="str">
        <f t="shared" si="2"/>
        <v/>
      </c>
      <c r="K9" s="23">
        <f t="shared" si="3"/>
        <v>6.04</v>
      </c>
      <c r="L9" s="23">
        <f t="shared" si="4"/>
        <v>15</v>
      </c>
      <c r="P9" s="59" t="str">
        <f ca="1">IFERROR(__xludf.DUMMYFUNCTION("FILTER(B2:B25,C2:C25=LARGE(C2:C25,2))"),"#REF!")</f>
        <v>#REF!</v>
      </c>
      <c r="Q9" s="60" t="str">
        <f ca="1">IFERROR(__xludf.DUMMYFUNCTION("FILTER(B2:B25,D2:D25=LARGE(D2:D25,2))"),"Vetlebror session IPA")</f>
        <v>Vetlebror session IPA</v>
      </c>
      <c r="R9" s="59" t="str">
        <f ca="1">IFERROR(__xludf.DUMMYFUNCTION("FILTER(B2:B25,E2:E25=LARGE(E2:E25,2))"),"Framboise Boon")</f>
        <v>Framboise Boon</v>
      </c>
      <c r="S9" s="59" t="str">
        <f ca="1">IFERROR(__xludf.DUMMYFUNCTION("FILTER(B2:B25,F2:F25=LARGE(F2:F25,2))"),"Framboise Boon")</f>
        <v>Framboise Boon</v>
      </c>
      <c r="T9" s="59" t="str">
        <f ca="1">IFERROR(__xludf.DUMMYFUNCTION("FILTER(B2:B25,G2:G25=LARGE(G2:G25,2))"),"1864 Ananas")</f>
        <v>1864 Ananas</v>
      </c>
      <c r="U9" s="59" t="str">
        <f ca="1">IFERROR(__xludf.DUMMYFUNCTION("FILTER(B2:B25,#REF!=LARGE(#REF!,2))"),"#N/A")</f>
        <v>#N/A</v>
      </c>
      <c r="V9" s="59" t="str">
        <f ca="1">IFERROR(__xludf.DUMMYFUNCTION("FILTER(B2:B25,#REF!=LARGE(#REF!,2))"),"#N/A")</f>
        <v>#N/A</v>
      </c>
      <c r="W9" s="59" t="str">
        <f ca="1">IFERROR(__xludf.DUMMYFUNCTION("FILTER(B2:B25,#REF!=LARGE(#REF!,2))"),"#N/A")</f>
        <v>#N/A</v>
      </c>
      <c r="X9" s="59" t="str">
        <f ca="1">IFERROR(__xludf.DUMMYFUNCTION("FILTER(B2:B25,#REF!=LARGE(#REF!,2))"),"#N/A")</f>
        <v>#N/A</v>
      </c>
    </row>
    <row r="10" spans="1:24" ht="14" x14ac:dyDescent="0.3">
      <c r="A10" s="15" t="s">
        <v>45</v>
      </c>
      <c r="B10" s="13" t="s">
        <v>197</v>
      </c>
      <c r="C10" s="14">
        <v>65</v>
      </c>
      <c r="D10" s="20">
        <v>57</v>
      </c>
      <c r="E10" s="17">
        <v>23</v>
      </c>
      <c r="F10" s="18">
        <v>61</v>
      </c>
      <c r="G10" s="21">
        <v>21</v>
      </c>
      <c r="H10" s="22">
        <f t="shared" si="0"/>
        <v>45.4</v>
      </c>
      <c r="I10" s="23">
        <f t="shared" si="1"/>
        <v>9</v>
      </c>
      <c r="J10" s="23" t="str">
        <f t="shared" si="2"/>
        <v/>
      </c>
      <c r="K10" s="23">
        <f t="shared" si="3"/>
        <v>21.56</v>
      </c>
      <c r="L10" s="23">
        <f t="shared" si="4"/>
        <v>44</v>
      </c>
      <c r="P10" s="64" t="str">
        <f ca="1">IFERROR(__xludf.DUMMYFUNCTION("FILTER(B2:B25,C2:C25=LARGE(C2:C25,3))"),"Hazy Session IPA")</f>
        <v>Hazy Session IPA</v>
      </c>
      <c r="Q10" s="64" t="str">
        <f ca="1">IFERROR(__xludf.DUMMYFUNCTION("FILTER(B2:B25,D2:D25=LARGE(D2:D25,3))"),"Haand Fyr &amp; Flamme")</f>
        <v>Haand Fyr &amp; Flamme</v>
      </c>
      <c r="R10" s="64" t="str">
        <f ca="1">IFERROR(__xludf.DUMMYFUNCTION("FILTER(B2:B25,E2:E25=LARGE(E2:E25,3))"),"Nordstjerna IPA")</f>
        <v>Nordstjerna IPA</v>
      </c>
      <c r="S10" s="64" t="str">
        <f ca="1">IFERROR(__xludf.DUMMYFUNCTION("FILTER(B2:B25,F2:F25=LARGE(F2:F25,3))"),"Westmalle Trappist Trippel")</f>
        <v>Westmalle Trappist Trippel</v>
      </c>
      <c r="T10" s="64" t="str">
        <f ca="1">IFERROR(__xludf.DUMMYFUNCTION("FILTER(B2:B25,G2:G25=LARGE(G2:G25,3))"),"Framboise Boon")</f>
        <v>Framboise Boon</v>
      </c>
      <c r="U10" s="64" t="str">
        <f ca="1">IFERROR(__xludf.DUMMYFUNCTION("FILTER(B2:B25,#REF!=LARGE(#REF!,3))"),"#N/A")</f>
        <v>#N/A</v>
      </c>
      <c r="V10" s="64" t="str">
        <f ca="1">IFERROR(__xludf.DUMMYFUNCTION("FILTER(B2:B25,#REF!=LARGE(#REF!,3))"),"#N/A")</f>
        <v>#N/A</v>
      </c>
      <c r="W10" s="64" t="str">
        <f ca="1">IFERROR(__xludf.DUMMYFUNCTION("FILTER(B2:B25,#REF!=LARGE(#REF!,3))"),"#N/A")</f>
        <v>#N/A</v>
      </c>
      <c r="X10" s="64" t="str">
        <f ca="1">IFERROR(__xludf.DUMMYFUNCTION("FILTER(B2:B25,#REF!=LARGE(#REF!,3))"),"#N/A")</f>
        <v>#N/A</v>
      </c>
    </row>
    <row r="11" spans="1:24" ht="13" x14ac:dyDescent="0.3">
      <c r="A11" s="15" t="s">
        <v>51</v>
      </c>
      <c r="B11" s="13" t="s">
        <v>199</v>
      </c>
      <c r="C11" s="14">
        <v>69</v>
      </c>
      <c r="D11" s="20">
        <v>45</v>
      </c>
      <c r="E11" s="17">
        <v>60</v>
      </c>
      <c r="F11" s="18">
        <v>67</v>
      </c>
      <c r="G11" s="21">
        <v>57</v>
      </c>
      <c r="H11" s="22">
        <f t="shared" si="0"/>
        <v>59.6</v>
      </c>
      <c r="I11" s="23">
        <f t="shared" si="1"/>
        <v>1</v>
      </c>
      <c r="J11" s="23" t="str">
        <f t="shared" si="2"/>
        <v>Framboise Boon</v>
      </c>
      <c r="K11" s="23">
        <f t="shared" si="3"/>
        <v>9.5299999999999994</v>
      </c>
      <c r="L11" s="23">
        <f t="shared" si="4"/>
        <v>24</v>
      </c>
      <c r="P11" s="23" t="str">
        <f ca="1">IFERROR(__xludf.DUMMYFUNCTION("""COMPUTED_VALUE"""),"Bruza Kirsu Sartais")</f>
        <v>Bruza Kirsu Sartais</v>
      </c>
    </row>
    <row r="12" spans="1:24" ht="13" x14ac:dyDescent="0.3">
      <c r="A12" s="15" t="s">
        <v>56</v>
      </c>
      <c r="B12" s="13" t="s">
        <v>201</v>
      </c>
      <c r="C12" s="14">
        <v>47</v>
      </c>
      <c r="D12" s="20">
        <v>42</v>
      </c>
      <c r="E12" s="17">
        <v>53</v>
      </c>
      <c r="F12" s="18">
        <v>53</v>
      </c>
      <c r="G12" s="21">
        <v>55</v>
      </c>
      <c r="H12" s="22">
        <f t="shared" si="0"/>
        <v>50</v>
      </c>
      <c r="I12" s="23">
        <f t="shared" si="1"/>
        <v>3</v>
      </c>
      <c r="J12" s="23" t="str">
        <f t="shared" si="2"/>
        <v>Grilløl</v>
      </c>
      <c r="K12" s="23">
        <f t="shared" ref="K12:K25" si="5">IF(MIN(C12:G12) &gt; 0, STDEV(C12:G12), "")</f>
        <v>5.3851648071345037</v>
      </c>
      <c r="L12" s="23">
        <f t="shared" si="4"/>
        <v>13</v>
      </c>
      <c r="P12" s="23" t="str">
        <f ca="1">IFERROR(__xludf.DUMMYFUNCTION("""COMPUTED_VALUE"""),"Vetlebror session IPA")</f>
        <v>Vetlebror session IPA</v>
      </c>
    </row>
    <row r="13" spans="1:24" ht="13" x14ac:dyDescent="0.3">
      <c r="A13" s="15" t="s">
        <v>59</v>
      </c>
      <c r="B13" s="13" t="s">
        <v>204</v>
      </c>
      <c r="C13" s="14">
        <v>20</v>
      </c>
      <c r="D13" s="20">
        <v>17</v>
      </c>
      <c r="E13" s="17">
        <v>45</v>
      </c>
      <c r="F13" s="18">
        <v>15</v>
      </c>
      <c r="G13" s="21">
        <v>47</v>
      </c>
      <c r="H13" s="22">
        <f t="shared" si="0"/>
        <v>28.8</v>
      </c>
      <c r="I13" s="23">
        <f t="shared" si="1"/>
        <v>19</v>
      </c>
      <c r="J13" s="23" t="str">
        <f t="shared" si="2"/>
        <v/>
      </c>
      <c r="K13" s="23">
        <f t="shared" si="5"/>
        <v>15.817711591756883</v>
      </c>
      <c r="L13" s="23">
        <f t="shared" si="4"/>
        <v>32</v>
      </c>
    </row>
    <row r="14" spans="1:24" ht="13" x14ac:dyDescent="0.3">
      <c r="A14" s="15" t="s">
        <v>63</v>
      </c>
      <c r="B14" s="13" t="s">
        <v>205</v>
      </c>
      <c r="C14" s="14">
        <v>14</v>
      </c>
      <c r="D14" s="20">
        <v>37</v>
      </c>
      <c r="E14" s="17">
        <v>12</v>
      </c>
      <c r="F14" s="18">
        <v>64</v>
      </c>
      <c r="G14" s="21">
        <v>52</v>
      </c>
      <c r="H14" s="22">
        <f t="shared" si="0"/>
        <v>35.799999999999997</v>
      </c>
      <c r="I14" s="23">
        <f t="shared" si="1"/>
        <v>16</v>
      </c>
      <c r="J14" s="23" t="str">
        <f t="shared" si="2"/>
        <v/>
      </c>
      <c r="K14" s="23">
        <f t="shared" si="5"/>
        <v>22.917242417009948</v>
      </c>
      <c r="L14" s="23">
        <f t="shared" si="4"/>
        <v>52</v>
      </c>
    </row>
    <row r="15" spans="1:24" ht="13" x14ac:dyDescent="0.3">
      <c r="A15" s="15" t="s">
        <v>65</v>
      </c>
      <c r="B15" s="13" t="s">
        <v>207</v>
      </c>
      <c r="C15" s="14">
        <v>11</v>
      </c>
      <c r="D15" s="20">
        <v>13</v>
      </c>
      <c r="E15" s="17">
        <v>34</v>
      </c>
      <c r="F15" s="18">
        <v>3</v>
      </c>
      <c r="G15" s="21">
        <v>39</v>
      </c>
      <c r="H15" s="22">
        <f t="shared" si="0"/>
        <v>20</v>
      </c>
      <c r="I15" s="23">
        <f t="shared" si="1"/>
        <v>21</v>
      </c>
      <c r="J15" s="23" t="str">
        <f t="shared" si="2"/>
        <v/>
      </c>
      <c r="K15" s="23">
        <f t="shared" si="5"/>
        <v>15.620499351813308</v>
      </c>
      <c r="L15" s="23">
        <f t="shared" si="4"/>
        <v>36</v>
      </c>
    </row>
    <row r="16" spans="1:24" ht="13" x14ac:dyDescent="0.3">
      <c r="A16" s="15" t="s">
        <v>69</v>
      </c>
      <c r="B16" s="13" t="s">
        <v>209</v>
      </c>
      <c r="C16" s="14">
        <v>0</v>
      </c>
      <c r="D16" s="20">
        <v>18</v>
      </c>
      <c r="E16" s="17">
        <v>19</v>
      </c>
      <c r="F16" s="18">
        <v>30</v>
      </c>
      <c r="G16" s="21">
        <v>43</v>
      </c>
      <c r="H16" s="22" t="str">
        <f t="shared" si="0"/>
        <v/>
      </c>
      <c r="I16" s="23" t="str">
        <f t="shared" si="1"/>
        <v/>
      </c>
      <c r="J16" s="23" t="str">
        <f t="shared" si="2"/>
        <v/>
      </c>
      <c r="K16" s="23" t="str">
        <f t="shared" si="5"/>
        <v/>
      </c>
      <c r="L16" s="23">
        <f t="shared" si="4"/>
        <v>43</v>
      </c>
    </row>
    <row r="17" spans="1:12" ht="13" x14ac:dyDescent="0.3">
      <c r="A17" s="15" t="s">
        <v>71</v>
      </c>
      <c r="B17" s="13" t="s">
        <v>210</v>
      </c>
      <c r="C17" s="14">
        <v>11</v>
      </c>
      <c r="D17" s="20">
        <v>17</v>
      </c>
      <c r="E17" s="17">
        <v>23</v>
      </c>
      <c r="F17" s="18">
        <v>20</v>
      </c>
      <c r="G17" s="21">
        <v>38</v>
      </c>
      <c r="H17" s="22">
        <f t="shared" si="0"/>
        <v>21.8</v>
      </c>
      <c r="I17" s="23">
        <f t="shared" si="1"/>
        <v>20</v>
      </c>
      <c r="J17" s="23" t="str">
        <f t="shared" si="2"/>
        <v/>
      </c>
      <c r="K17" s="23">
        <f t="shared" si="5"/>
        <v>10.084641788382969</v>
      </c>
      <c r="L17" s="23">
        <f t="shared" si="4"/>
        <v>27</v>
      </c>
    </row>
    <row r="18" spans="1:12" ht="13" x14ac:dyDescent="0.3">
      <c r="A18" s="15" t="s">
        <v>75</v>
      </c>
      <c r="B18" s="13" t="s">
        <v>212</v>
      </c>
      <c r="C18" s="14">
        <v>41</v>
      </c>
      <c r="D18" s="20">
        <v>45</v>
      </c>
      <c r="E18" s="17">
        <v>44</v>
      </c>
      <c r="F18" s="18">
        <v>45</v>
      </c>
      <c r="G18" s="21">
        <v>52</v>
      </c>
      <c r="H18" s="22">
        <f t="shared" si="0"/>
        <v>45.4</v>
      </c>
      <c r="I18" s="23">
        <f t="shared" si="1"/>
        <v>9</v>
      </c>
      <c r="J18" s="23" t="str">
        <f t="shared" si="2"/>
        <v/>
      </c>
      <c r="K18" s="23">
        <f t="shared" si="5"/>
        <v>4.0373258476372698</v>
      </c>
      <c r="L18" s="23">
        <f t="shared" si="4"/>
        <v>11</v>
      </c>
    </row>
    <row r="19" spans="1:12" ht="13" x14ac:dyDescent="0.3">
      <c r="A19" s="15" t="s">
        <v>78</v>
      </c>
      <c r="B19" s="13" t="s">
        <v>214</v>
      </c>
      <c r="C19" s="14">
        <v>35</v>
      </c>
      <c r="D19" s="20">
        <v>29</v>
      </c>
      <c r="E19" s="17">
        <v>41</v>
      </c>
      <c r="F19" s="18">
        <v>31</v>
      </c>
      <c r="G19" s="21">
        <v>47</v>
      </c>
      <c r="H19" s="22">
        <f t="shared" si="0"/>
        <v>36.6</v>
      </c>
      <c r="I19" s="23">
        <f t="shared" si="1"/>
        <v>15</v>
      </c>
      <c r="J19" s="23" t="str">
        <f t="shared" si="2"/>
        <v/>
      </c>
      <c r="K19" s="23">
        <f t="shared" si="5"/>
        <v>7.4027022093286963</v>
      </c>
      <c r="L19" s="23">
        <f t="shared" si="4"/>
        <v>18</v>
      </c>
    </row>
    <row r="20" spans="1:12" ht="13" x14ac:dyDescent="0.3">
      <c r="A20" s="15" t="s">
        <v>82</v>
      </c>
      <c r="B20" s="13" t="s">
        <v>215</v>
      </c>
      <c r="C20" s="14">
        <v>58</v>
      </c>
      <c r="D20" s="20">
        <v>23</v>
      </c>
      <c r="E20" s="17">
        <v>50</v>
      </c>
      <c r="F20" s="18">
        <v>47</v>
      </c>
      <c r="G20" s="21">
        <v>50</v>
      </c>
      <c r="H20" s="22">
        <f t="shared" si="0"/>
        <v>45.6</v>
      </c>
      <c r="I20" s="23">
        <f t="shared" si="1"/>
        <v>8</v>
      </c>
      <c r="J20" s="23" t="str">
        <f t="shared" si="2"/>
        <v/>
      </c>
      <c r="K20" s="23">
        <f t="shared" si="5"/>
        <v>13.277801022759762</v>
      </c>
      <c r="L20" s="23">
        <f t="shared" si="4"/>
        <v>35</v>
      </c>
    </row>
    <row r="21" spans="1:12" ht="13" x14ac:dyDescent="0.3">
      <c r="A21" s="15" t="s">
        <v>87</v>
      </c>
      <c r="B21" s="13" t="s">
        <v>217</v>
      </c>
      <c r="C21" s="14">
        <v>43</v>
      </c>
      <c r="D21" s="20">
        <v>28</v>
      </c>
      <c r="E21" s="17">
        <v>42</v>
      </c>
      <c r="F21" s="18">
        <v>49</v>
      </c>
      <c r="G21" s="21">
        <v>61</v>
      </c>
      <c r="H21" s="22">
        <f t="shared" si="0"/>
        <v>44.6</v>
      </c>
      <c r="I21" s="23">
        <f t="shared" si="1"/>
        <v>11</v>
      </c>
      <c r="J21" s="23" t="str">
        <f t="shared" si="2"/>
        <v/>
      </c>
      <c r="K21" s="23">
        <f t="shared" si="5"/>
        <v>11.970797801316342</v>
      </c>
      <c r="L21" s="23">
        <f t="shared" si="4"/>
        <v>33</v>
      </c>
    </row>
    <row r="22" spans="1:12" ht="13" x14ac:dyDescent="0.3">
      <c r="A22" s="15" t="s">
        <v>92</v>
      </c>
      <c r="B22" s="13" t="s">
        <v>219</v>
      </c>
      <c r="C22" s="14">
        <v>35</v>
      </c>
      <c r="D22" s="20">
        <v>38</v>
      </c>
      <c r="E22" s="17">
        <v>53</v>
      </c>
      <c r="F22" s="18">
        <v>29</v>
      </c>
      <c r="G22" s="21">
        <v>45</v>
      </c>
      <c r="H22" s="22">
        <f t="shared" si="0"/>
        <v>40</v>
      </c>
      <c r="I22" s="23">
        <f t="shared" si="1"/>
        <v>12</v>
      </c>
      <c r="J22" s="23" t="str">
        <f t="shared" si="2"/>
        <v/>
      </c>
      <c r="K22" s="23">
        <f t="shared" si="5"/>
        <v>9.2736184954957039</v>
      </c>
      <c r="L22" s="23">
        <f t="shared" si="4"/>
        <v>24</v>
      </c>
    </row>
    <row r="23" spans="1:12" ht="13" x14ac:dyDescent="0.3">
      <c r="A23" s="15" t="s">
        <v>95</v>
      </c>
      <c r="B23" s="13" t="s">
        <v>181</v>
      </c>
      <c r="C23" s="14">
        <v>0</v>
      </c>
      <c r="D23" s="20">
        <v>32</v>
      </c>
      <c r="E23" s="17">
        <v>54</v>
      </c>
      <c r="F23" s="18">
        <v>46</v>
      </c>
      <c r="G23" s="21">
        <v>56</v>
      </c>
      <c r="H23" s="22" t="str">
        <f t="shared" si="0"/>
        <v/>
      </c>
      <c r="I23" s="23" t="str">
        <f t="shared" si="1"/>
        <v/>
      </c>
      <c r="J23" s="23" t="str">
        <f t="shared" si="2"/>
        <v/>
      </c>
      <c r="K23" s="23" t="str">
        <f t="shared" si="5"/>
        <v/>
      </c>
      <c r="L23" s="23">
        <f t="shared" si="4"/>
        <v>56</v>
      </c>
    </row>
    <row r="24" spans="1:12" ht="13" x14ac:dyDescent="0.3">
      <c r="A24" s="15" t="s">
        <v>99</v>
      </c>
      <c r="B24" s="13" t="s">
        <v>222</v>
      </c>
      <c r="C24" s="14">
        <v>46</v>
      </c>
      <c r="D24" s="20">
        <v>44</v>
      </c>
      <c r="E24" s="17">
        <v>29</v>
      </c>
      <c r="F24" s="18">
        <v>35</v>
      </c>
      <c r="G24" s="21">
        <v>25</v>
      </c>
      <c r="H24" s="22">
        <f t="shared" si="0"/>
        <v>35.799999999999997</v>
      </c>
      <c r="I24" s="23">
        <f t="shared" si="1"/>
        <v>16</v>
      </c>
      <c r="J24" s="23" t="str">
        <f t="shared" si="2"/>
        <v/>
      </c>
      <c r="K24" s="23">
        <f t="shared" si="5"/>
        <v>9.148770409186147</v>
      </c>
      <c r="L24" s="23">
        <f t="shared" si="4"/>
        <v>21</v>
      </c>
    </row>
    <row r="25" spans="1:12" ht="13" x14ac:dyDescent="0.3">
      <c r="A25" s="15" t="s">
        <v>106</v>
      </c>
      <c r="B25" s="13" t="s">
        <v>224</v>
      </c>
      <c r="C25" s="14">
        <v>52</v>
      </c>
      <c r="D25" s="20">
        <v>50</v>
      </c>
      <c r="E25" s="17">
        <v>9</v>
      </c>
      <c r="F25" s="18">
        <v>45</v>
      </c>
      <c r="G25" s="21">
        <v>29</v>
      </c>
      <c r="H25" s="22">
        <f t="shared" si="0"/>
        <v>37</v>
      </c>
      <c r="I25" s="23">
        <f t="shared" si="1"/>
        <v>14</v>
      </c>
      <c r="J25" s="23" t="str">
        <f t="shared" si="2"/>
        <v/>
      </c>
      <c r="K25" s="23">
        <f t="shared" si="5"/>
        <v>18.069310999592652</v>
      </c>
      <c r="L25" s="23">
        <f t="shared" si="4"/>
        <v>43</v>
      </c>
    </row>
    <row r="26" spans="1:12" ht="24" customHeight="1" x14ac:dyDescent="0.3">
      <c r="A26" s="36"/>
      <c r="B26" s="37" t="s">
        <v>111</v>
      </c>
      <c r="C26" s="53">
        <f t="shared" ref="C26:G26" si="6">AVERAGEIF(C2:C25, "&gt;1")</f>
        <v>41.545454545454547</v>
      </c>
      <c r="D26" s="53">
        <f t="shared" si="6"/>
        <v>34.416666666666664</v>
      </c>
      <c r="E26" s="53">
        <f t="shared" si="6"/>
        <v>38.125</v>
      </c>
      <c r="F26" s="53">
        <f t="shared" si="6"/>
        <v>42.333333333333336</v>
      </c>
      <c r="G26" s="53">
        <f t="shared" si="6"/>
        <v>43.375</v>
      </c>
      <c r="H26" s="44">
        <f>AVERAGE(H2:H25)</f>
        <v>40.127272727272718</v>
      </c>
      <c r="I26" s="23"/>
      <c r="J26" s="23"/>
      <c r="K26" s="23"/>
      <c r="L26" s="23"/>
    </row>
    <row r="27" spans="1:12" ht="27" customHeight="1" x14ac:dyDescent="0.25">
      <c r="B27" s="23" t="s">
        <v>166</v>
      </c>
      <c r="C27" s="23" t="str">
        <f ca="1">IFERROR(__xludf.DUMMYFUNCTION("IFERROR(INDEX(FILTER($B$2:$B$25, C2:C25 = LARGE(C2:C25, 1)), 2), INDEX(FILTER($B$2:$B$25, C2:C25 = LARGE(C2:C25, 1)), 1))
"),"Framboise Boon")</f>
        <v>Framboise Boon</v>
      </c>
      <c r="D27" s="23" t="str">
        <f ca="1">IFERROR(__xludf.DUMMYFUNCTION("IFERROR(INDEX(FILTER($B$2:$B$25, D2:D25 = LARGE(D2:D25, 1)), 1), INDEX(FILTER($B$2:$B$25, D2:D25 = LARGE(D2:D25, 1)), 1))
"),"Nordstjerna IPA")</f>
        <v>Nordstjerna IPA</v>
      </c>
      <c r="E27" s="23" t="str">
        <f ca="1">IFERROR(__xludf.DUMMYFUNCTION("IFERROR(INDEX(FILTER($B$2:$B$25, E2:E25 = LARGE(E2:E25, 1)), 2), INDEX(FILTER($B$2:$B$25, E2:E25 = LARGE(E2:E25, 1)), 1))
"),"Bruza Kirsu Sartais")</f>
        <v>Bruza Kirsu Sartais</v>
      </c>
      <c r="F27" s="23" t="str">
        <f ca="1">IFERROR(__xludf.DUMMYFUNCTION("IFERROR(INDEX(FILTER($B$2:$B$25, F2:F25 = LARGE(F2:F25, 1)), 2), INDEX(FILTER($B$2:$B$25, F2:F25 = LARGE(F2:F25, 1)), 1))
"),"Global/Hoppy Pale Ale")</f>
        <v>Global/Hoppy Pale Ale</v>
      </c>
      <c r="G27" s="23" t="str">
        <f ca="1">IFERROR(__xludf.DUMMYFUNCTION("IFERROR(INDEX(FILTER($B$2:$B$25, G2:G25 = LARGE(G2:G25, 1)), 1), INDEX(FILTER($B$2:$B$25, G2:G25 = LARGE(G2:G25, 1)), 1))
"),"Bruza Kirsu Sartais")</f>
        <v>Bruza Kirsu Sartais</v>
      </c>
    </row>
    <row r="28" spans="1:12" ht="21.75" customHeight="1" x14ac:dyDescent="0.25">
      <c r="B28" s="23" t="s">
        <v>167</v>
      </c>
      <c r="C28" s="23" t="str">
        <f ca="1">IFERROR(__xludf.DUMMYFUNCTION("IFERROR(INDEX(FILTER($B$2:$B$25, C2:C25 = LARGE(C2:C25, 2)), 2), INDEX(FILTER($B$2:$B$25, C2:C25 = LARGE(C2:C25, 2)), 1))
"),"Bruza Kirsu Sartais")</f>
        <v>Bruza Kirsu Sartais</v>
      </c>
      <c r="D28" s="23" t="str">
        <f ca="1">IFERROR(__xludf.DUMMYFUNCTION("IFERROR(INDEX(FILTER($B$2:$B$25, D2:D25 = LARGE(D2:D25, 2)), 2), INDEX(FILTER($B$2:$B$25, D2:D25 = LARGE(D2:D25, 2)), 1))
"),"Vetlebror session IPA")</f>
        <v>Vetlebror session IPA</v>
      </c>
      <c r="E28" s="23" t="str">
        <f ca="1">IFERROR(__xludf.DUMMYFUNCTION("IFERROR(INDEX(FILTER($B$2:$B$25, E2:E25 = LARGE(E2:E25, 2)), 2), INDEX(FILTER($B$2:$B$25, E2:E25 = LARGE(E2:E25, 2)), 1))
"),"Framboise Boon")</f>
        <v>Framboise Boon</v>
      </c>
      <c r="F28" s="23" t="str">
        <f ca="1">IFERROR(__xludf.DUMMYFUNCTION("IFERROR(INDEX(FILTER($B$2:$B$25, F2:F25 = LARGE(F2:F25, 2)), 3), INDEX(FILTER($B$2:$B$25, F2:F25 = LARGE(F2:F25, 2)), 1))
"),"Framboise Boon")</f>
        <v>Framboise Boon</v>
      </c>
      <c r="G28" s="23" t="str">
        <f ca="1">IFERROR(__xludf.DUMMYFUNCTION("IFERROR(INDEX(FILTER($B$2:$B$25, G2:G25 = LARGE(G2:G25, 2)), 2), INDEX(FILTER($B$2:$B$25, G2:G25 = LARGE(G2:G25, 2)), 1))
"),"1864 Ananas")</f>
        <v>1864 Ananas</v>
      </c>
    </row>
    <row r="29" spans="1:12" ht="21.75" customHeight="1" x14ac:dyDescent="0.25">
      <c r="B29" s="23" t="s">
        <v>172</v>
      </c>
      <c r="C29" s="23" t="str">
        <f ca="1">IFERROR(__xludf.DUMMYFUNCTION("IFERROR(INDEX(FILTER($B$2:$B$25, C2:C25 = LARGE(C2:C25, 3)), 2), INDEX(FILTER($B$2:$B$25, C2:C25 = LARGE(C2:C25, 3)), 1))
"),"Bruza Kirsu Sartais")</f>
        <v>Bruza Kirsu Sartais</v>
      </c>
      <c r="D29" s="23" t="str">
        <f ca="1">IFERROR(__xludf.DUMMYFUNCTION("IFERROR(INDEX(FILTER($B$2:$B$25, D2:D25 = LARGE(D2:D25, 3)), 3), INDEX(FILTER($B$2:$B$25, D2:D25 = LARGE(D2:D25, 3)), 1))
"),"Haand Fyr &amp; Flamme")</f>
        <v>Haand Fyr &amp; Flamme</v>
      </c>
      <c r="E29" s="23" t="str">
        <f ca="1">IFERROR(__xludf.DUMMYFUNCTION("IFERROR(INDEX(FILTER($B$2:$B$25, E2:E25 = LARGE(E2:E25, 3)), 2), INDEX(FILTER($B$2:$B$25, E2:E25 = LARGE(E2:E25, 3)), 1))
"),"Nordstjerna IPA")</f>
        <v>Nordstjerna IPA</v>
      </c>
      <c r="F29" s="23" t="str">
        <f ca="1">IFERROR(__xludf.DUMMYFUNCTION("IFERROR(INDEX(FILTER($B$2:$B$25, F2:F25 = LARGE(F2:F25, 3)), 2), INDEX(FILTER($B$2:$B$25, F2:F25 = LARGE(F2:F25, 3)), 1))
"),"Westmalle Trappist Trippel")</f>
        <v>Westmalle Trappist Trippel</v>
      </c>
      <c r="G29" s="23" t="str">
        <f ca="1">IFERROR(__xludf.DUMMYFUNCTION("IFERROR(INDEX(FILTER($B$2:$B$25, G2:G25 = LARGE(G2:G25, 3)), 2), INDEX(FILTER($B$2:$B$25, G2:G25 = LARGE(G2:G25, 3)), 1))
"),"Framboise Boon")</f>
        <v>Framboise Boon</v>
      </c>
    </row>
    <row r="30" spans="1:12" ht="23.25" customHeight="1" x14ac:dyDescent="0.25">
      <c r="B30" s="23" t="s">
        <v>177</v>
      </c>
      <c r="C30" s="23">
        <f t="shared" ref="C30:H30" si="7">MAXA(C2:C25) - MIN(C2:C25)</f>
        <v>69</v>
      </c>
      <c r="D30" s="23">
        <f t="shared" si="7"/>
        <v>52</v>
      </c>
      <c r="E30" s="23">
        <f t="shared" si="7"/>
        <v>60</v>
      </c>
      <c r="F30" s="23">
        <f t="shared" si="7"/>
        <v>66</v>
      </c>
      <c r="G30" s="23">
        <f t="shared" si="7"/>
        <v>48</v>
      </c>
      <c r="H30" s="92">
        <f t="shared" si="7"/>
        <v>42.8</v>
      </c>
    </row>
    <row r="31" spans="1:12" ht="12.5" x14ac:dyDescent="0.25">
      <c r="B31" s="23" t="s">
        <v>178</v>
      </c>
    </row>
    <row r="32" spans="1:12" ht="12.5" x14ac:dyDescent="0.25">
      <c r="E32" s="68"/>
      <c r="F32" s="68"/>
      <c r="G32" s="68"/>
      <c r="H32" s="68"/>
    </row>
    <row r="33" spans="1:8" ht="12.5" x14ac:dyDescent="0.25">
      <c r="E33" s="68"/>
      <c r="F33" s="68"/>
      <c r="G33" s="68"/>
      <c r="H33" s="68"/>
    </row>
    <row r="36" spans="1:8" ht="18" x14ac:dyDescent="0.4">
      <c r="A36" s="49"/>
      <c r="B36" s="106" t="s">
        <v>179</v>
      </c>
      <c r="C36" s="97"/>
      <c r="D36" s="98"/>
    </row>
    <row r="37" spans="1:8" ht="14" x14ac:dyDescent="0.3">
      <c r="A37" s="52"/>
      <c r="B37" s="45" t="str">
        <f ca="1">IFERROR(__xludf.DUMMYFUNCTION("FILTER(B2:B25,H2:H25=LARGE(H2:H25,1))"),"Framboise Boon")</f>
        <v>Framboise Boon</v>
      </c>
      <c r="C37" s="99">
        <f>LARGE(H2:H25,1)</f>
        <v>59.6</v>
      </c>
      <c r="D37" s="100"/>
    </row>
    <row r="38" spans="1:8" ht="14" x14ac:dyDescent="0.3">
      <c r="A38" s="57"/>
      <c r="B38" s="59" t="str">
        <f ca="1">IFERROR(__xludf.DUMMYFUNCTION("FILTER(B2:B25,H2:H25=LARGE(H2:H25,2))"),"Bruza Kirsu Sartais")</f>
        <v>Bruza Kirsu Sartais</v>
      </c>
      <c r="C38" s="101">
        <f>LARGE(H2:H25,2)</f>
        <v>56</v>
      </c>
      <c r="D38" s="100"/>
    </row>
    <row r="39" spans="1:8" ht="14" x14ac:dyDescent="0.3">
      <c r="A39" s="62"/>
      <c r="B39" s="64" t="str">
        <f ca="1">IFERROR(__xludf.DUMMYFUNCTION("FILTER(B2:B25,H2:H25=LARGE(H2:H25,3))"),"Grilløl")</f>
        <v>Grilløl</v>
      </c>
      <c r="C39" s="102">
        <f>LARGE(H2:H25,3)</f>
        <v>50</v>
      </c>
      <c r="D39" s="103"/>
    </row>
    <row r="67" spans="3:7" ht="22.5" x14ac:dyDescent="0.45">
      <c r="C67" s="4" t="s">
        <v>3</v>
      </c>
      <c r="D67" s="6" t="s">
        <v>4</v>
      </c>
      <c r="E67" s="7" t="s">
        <v>5</v>
      </c>
      <c r="F67" s="8" t="s">
        <v>6</v>
      </c>
      <c r="G67" s="78" t="s">
        <v>7</v>
      </c>
    </row>
  </sheetData>
  <mergeCells count="4">
    <mergeCell ref="B36:D36"/>
    <mergeCell ref="C37:D37"/>
    <mergeCell ref="C38:D38"/>
    <mergeCell ref="C39:D39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25"/>
  <sheetViews>
    <sheetView workbookViewId="0"/>
  </sheetViews>
  <sheetFormatPr defaultColWidth="12.6328125" defaultRowHeight="15.75" customHeight="1" x14ac:dyDescent="0.25"/>
  <cols>
    <col min="1" max="1" width="25.453125" customWidth="1"/>
    <col min="2" max="2" width="27.7265625" customWidth="1"/>
    <col min="3" max="3" width="17.26953125" customWidth="1"/>
  </cols>
  <sheetData>
    <row r="1" spans="1:3" ht="42.75" customHeight="1" x14ac:dyDescent="0.25">
      <c r="A1" s="79" t="s">
        <v>2</v>
      </c>
      <c r="B1" s="79" t="s">
        <v>139</v>
      </c>
      <c r="C1" s="79" t="s">
        <v>141</v>
      </c>
    </row>
    <row r="2" spans="1:3" ht="12.5" x14ac:dyDescent="0.25">
      <c r="A2" s="23" t="s">
        <v>12</v>
      </c>
      <c r="B2" s="23" t="s">
        <v>142</v>
      </c>
      <c r="C2" s="23">
        <v>2007</v>
      </c>
    </row>
    <row r="3" spans="1:3" ht="12.5" x14ac:dyDescent="0.25">
      <c r="A3" s="23" t="s">
        <v>17</v>
      </c>
      <c r="B3" s="23" t="s">
        <v>143</v>
      </c>
      <c r="C3" s="23">
        <v>2006</v>
      </c>
    </row>
    <row r="4" spans="1:3" ht="12.5" x14ac:dyDescent="0.25">
      <c r="A4" s="23" t="s">
        <v>22</v>
      </c>
      <c r="B4" s="23" t="s">
        <v>144</v>
      </c>
      <c r="C4" s="23">
        <v>2003</v>
      </c>
    </row>
    <row r="5" spans="1:3" ht="12.5" x14ac:dyDescent="0.25">
      <c r="A5" s="23" t="s">
        <v>26</v>
      </c>
      <c r="B5" s="23" t="s">
        <v>145</v>
      </c>
      <c r="C5" s="23">
        <v>2012</v>
      </c>
    </row>
    <row r="6" spans="1:3" ht="12.5" x14ac:dyDescent="0.25">
      <c r="A6" s="23" t="s">
        <v>32</v>
      </c>
      <c r="B6" s="23" t="s">
        <v>146</v>
      </c>
      <c r="C6" s="23">
        <v>1888</v>
      </c>
    </row>
    <row r="7" spans="1:3" ht="12.5" x14ac:dyDescent="0.25">
      <c r="A7" s="23" t="s">
        <v>42</v>
      </c>
      <c r="B7" s="23" t="s">
        <v>147</v>
      </c>
      <c r="C7" s="23">
        <v>2002</v>
      </c>
    </row>
    <row r="8" spans="1:3" ht="12.5" x14ac:dyDescent="0.25">
      <c r="A8" s="23" t="s">
        <v>50</v>
      </c>
      <c r="B8" s="23" t="s">
        <v>149</v>
      </c>
      <c r="C8" s="23">
        <v>1856</v>
      </c>
    </row>
    <row r="9" spans="1:3" ht="12.5" x14ac:dyDescent="0.25">
      <c r="A9" s="23" t="s">
        <v>150</v>
      </c>
      <c r="B9" s="23" t="s">
        <v>151</v>
      </c>
      <c r="C9" s="23">
        <v>1871</v>
      </c>
    </row>
    <row r="10" spans="1:3" ht="12.5" x14ac:dyDescent="0.25">
      <c r="A10" s="23" t="s">
        <v>62</v>
      </c>
      <c r="B10" s="23" t="s">
        <v>152</v>
      </c>
      <c r="C10" s="23" t="s">
        <v>153</v>
      </c>
    </row>
    <row r="11" spans="1:3" ht="12.5" x14ac:dyDescent="0.25">
      <c r="A11" s="23" t="s">
        <v>68</v>
      </c>
      <c r="B11" s="23" t="s">
        <v>154</v>
      </c>
      <c r="C11" s="23">
        <v>2011</v>
      </c>
    </row>
    <row r="12" spans="1:3" ht="12.5" x14ac:dyDescent="0.25">
      <c r="A12" s="23" t="s">
        <v>155</v>
      </c>
      <c r="B12" s="23" t="s">
        <v>156</v>
      </c>
      <c r="C12" s="23">
        <v>1901</v>
      </c>
    </row>
    <row r="13" spans="1:3" ht="12.5" x14ac:dyDescent="0.25">
      <c r="A13" s="23" t="s">
        <v>79</v>
      </c>
      <c r="B13" s="23" t="s">
        <v>158</v>
      </c>
      <c r="C13" s="23" t="s">
        <v>153</v>
      </c>
    </row>
    <row r="14" spans="1:3" ht="12.5" x14ac:dyDescent="0.25">
      <c r="A14" s="23" t="s">
        <v>85</v>
      </c>
      <c r="B14" s="23" t="s">
        <v>159</v>
      </c>
      <c r="C14" s="23">
        <v>2013</v>
      </c>
    </row>
    <row r="15" spans="1:3" ht="12.5" x14ac:dyDescent="0.25">
      <c r="A15" s="23" t="s">
        <v>89</v>
      </c>
      <c r="B15" s="23" t="s">
        <v>142</v>
      </c>
      <c r="C15" s="23">
        <v>2007</v>
      </c>
    </row>
    <row r="16" spans="1:3" ht="12.5" x14ac:dyDescent="0.25">
      <c r="A16" s="23" t="s">
        <v>94</v>
      </c>
      <c r="B16" s="23" t="s">
        <v>160</v>
      </c>
      <c r="C16" s="23">
        <v>2004</v>
      </c>
    </row>
    <row r="17" spans="1:3" ht="12.5" x14ac:dyDescent="0.25">
      <c r="A17" s="23" t="s">
        <v>100</v>
      </c>
      <c r="B17" s="23" t="s">
        <v>161</v>
      </c>
      <c r="C17" s="23">
        <v>2002</v>
      </c>
    </row>
    <row r="18" spans="1:3" ht="12.5" x14ac:dyDescent="0.25">
      <c r="A18" s="23" t="s">
        <v>162</v>
      </c>
      <c r="B18" s="23" t="s">
        <v>164</v>
      </c>
      <c r="C18" s="23">
        <v>2013</v>
      </c>
    </row>
    <row r="19" spans="1:3" ht="12.5" x14ac:dyDescent="0.25">
      <c r="A19" s="23" t="s">
        <v>110</v>
      </c>
    </row>
    <row r="20" spans="1:3" ht="12.5" x14ac:dyDescent="0.25">
      <c r="A20" s="23" t="s">
        <v>165</v>
      </c>
    </row>
    <row r="21" spans="1:3" ht="12.5" x14ac:dyDescent="0.25">
      <c r="A21" s="23" t="s">
        <v>115</v>
      </c>
    </row>
    <row r="22" spans="1:3" ht="12.5" x14ac:dyDescent="0.25">
      <c r="A22" s="23" t="s">
        <v>118</v>
      </c>
    </row>
    <row r="23" spans="1:3" ht="12.5" x14ac:dyDescent="0.25">
      <c r="A23" s="23" t="s">
        <v>120</v>
      </c>
    </row>
    <row r="24" spans="1:3" ht="12.5" x14ac:dyDescent="0.25">
      <c r="A24" s="23" t="s">
        <v>122</v>
      </c>
    </row>
    <row r="25" spans="1:3" ht="12.5" x14ac:dyDescent="0.25">
      <c r="A25" s="23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50"/>
  <sheetViews>
    <sheetView workbookViewId="0"/>
  </sheetViews>
  <sheetFormatPr defaultColWidth="12.6328125" defaultRowHeight="15.75" customHeight="1" x14ac:dyDescent="0.25"/>
  <cols>
    <col min="1" max="1" width="25.453125" customWidth="1"/>
    <col min="2" max="2" width="27.7265625" customWidth="1"/>
    <col min="3" max="3" width="17.26953125" customWidth="1"/>
  </cols>
  <sheetData>
    <row r="1" spans="1:5" ht="42.75" customHeight="1" x14ac:dyDescent="0.25">
      <c r="A1" s="80" t="s">
        <v>25</v>
      </c>
      <c r="B1" s="80" t="s">
        <v>168</v>
      </c>
      <c r="C1" s="80" t="s">
        <v>169</v>
      </c>
    </row>
    <row r="2" spans="1:5" ht="12.5" x14ac:dyDescent="0.25">
      <c r="A2" s="81" t="s">
        <v>170</v>
      </c>
      <c r="B2" s="82">
        <v>69</v>
      </c>
      <c r="C2" s="83"/>
    </row>
    <row r="3" spans="1:5" ht="12.5" x14ac:dyDescent="0.25">
      <c r="A3" s="84" t="s">
        <v>171</v>
      </c>
      <c r="B3" s="85" t="s">
        <v>173</v>
      </c>
      <c r="C3" s="86">
        <v>420</v>
      </c>
      <c r="E3" s="87" t="s">
        <v>174</v>
      </c>
    </row>
    <row r="4" spans="1:5" ht="12.5" x14ac:dyDescent="0.25">
      <c r="A4" s="88" t="s">
        <v>175</v>
      </c>
      <c r="B4" s="89" t="s">
        <v>176</v>
      </c>
      <c r="C4" s="90" t="s">
        <v>176</v>
      </c>
    </row>
    <row r="5" spans="1:5" ht="12.5" x14ac:dyDescent="0.25">
      <c r="A5" s="91"/>
      <c r="B5" s="91"/>
      <c r="C5" s="91"/>
    </row>
    <row r="6" spans="1:5" ht="12.5" x14ac:dyDescent="0.25">
      <c r="A6" s="91"/>
      <c r="B6" s="91"/>
      <c r="C6" s="91"/>
    </row>
    <row r="7" spans="1:5" ht="12.5" x14ac:dyDescent="0.25">
      <c r="A7" s="91"/>
      <c r="B7" s="91"/>
      <c r="C7" s="91"/>
    </row>
    <row r="8" spans="1:5" ht="12.5" x14ac:dyDescent="0.25">
      <c r="A8" s="91"/>
      <c r="B8" s="91"/>
      <c r="C8" s="91"/>
    </row>
    <row r="9" spans="1:5" ht="12.5" x14ac:dyDescent="0.25">
      <c r="A9" s="91"/>
      <c r="B9" s="91"/>
      <c r="C9" s="91"/>
    </row>
    <row r="10" spans="1:5" ht="12.5" x14ac:dyDescent="0.25">
      <c r="A10" s="91"/>
      <c r="B10" s="91"/>
      <c r="C10" s="91"/>
    </row>
    <row r="11" spans="1:5" ht="12.5" x14ac:dyDescent="0.25">
      <c r="A11" s="91"/>
      <c r="B11" s="91"/>
      <c r="C11" s="91"/>
    </row>
    <row r="12" spans="1:5" ht="12.5" x14ac:dyDescent="0.25">
      <c r="A12" s="91"/>
      <c r="B12" s="91"/>
      <c r="C12" s="91"/>
    </row>
    <row r="13" spans="1:5" ht="12.5" x14ac:dyDescent="0.25">
      <c r="A13" s="91"/>
      <c r="B13" s="91"/>
      <c r="C13" s="91"/>
    </row>
    <row r="14" spans="1:5" ht="12.5" x14ac:dyDescent="0.25">
      <c r="A14" s="91"/>
      <c r="B14" s="91"/>
      <c r="C14" s="91"/>
    </row>
    <row r="15" spans="1:5" ht="12.5" x14ac:dyDescent="0.25">
      <c r="A15" s="91"/>
      <c r="B15" s="91"/>
      <c r="C15" s="91"/>
    </row>
    <row r="16" spans="1:5" ht="12.5" x14ac:dyDescent="0.25">
      <c r="A16" s="91"/>
      <c r="B16" s="91"/>
      <c r="C16" s="91"/>
    </row>
    <row r="17" spans="1:3" ht="12.5" x14ac:dyDescent="0.25">
      <c r="A17" s="91"/>
      <c r="B17" s="91"/>
      <c r="C17" s="91"/>
    </row>
    <row r="18" spans="1:3" ht="12.5" x14ac:dyDescent="0.25">
      <c r="A18" s="91"/>
      <c r="B18" s="91"/>
      <c r="C18" s="91"/>
    </row>
    <row r="19" spans="1:3" ht="12.5" x14ac:dyDescent="0.25">
      <c r="A19" s="91"/>
      <c r="B19" s="91"/>
      <c r="C19" s="91"/>
    </row>
    <row r="20" spans="1:3" ht="12.5" x14ac:dyDescent="0.25">
      <c r="A20" s="91"/>
      <c r="B20" s="91"/>
      <c r="C20" s="91"/>
    </row>
    <row r="21" spans="1:3" ht="12.5" x14ac:dyDescent="0.25">
      <c r="A21" s="91"/>
      <c r="B21" s="91"/>
      <c r="C21" s="91"/>
    </row>
    <row r="22" spans="1:3" ht="12.5" x14ac:dyDescent="0.25">
      <c r="A22" s="91"/>
      <c r="B22" s="91"/>
      <c r="C22" s="91"/>
    </row>
    <row r="23" spans="1:3" ht="12.5" x14ac:dyDescent="0.25">
      <c r="A23" s="91"/>
      <c r="B23" s="91"/>
      <c r="C23" s="91"/>
    </row>
    <row r="24" spans="1:3" ht="12.5" x14ac:dyDescent="0.25">
      <c r="A24" s="91"/>
      <c r="B24" s="91"/>
      <c r="C24" s="91"/>
    </row>
    <row r="25" spans="1:3" ht="12.5" x14ac:dyDescent="0.25">
      <c r="A25" s="91"/>
      <c r="B25" s="91"/>
      <c r="C25" s="91"/>
    </row>
    <row r="26" spans="1:3" ht="12.5" x14ac:dyDescent="0.25">
      <c r="A26" s="91"/>
      <c r="B26" s="91"/>
      <c r="C26" s="91"/>
    </row>
    <row r="27" spans="1:3" ht="12.5" x14ac:dyDescent="0.25">
      <c r="A27" s="91"/>
      <c r="B27" s="91"/>
      <c r="C27" s="91"/>
    </row>
    <row r="28" spans="1:3" ht="12.5" x14ac:dyDescent="0.25">
      <c r="A28" s="91"/>
      <c r="B28" s="91"/>
      <c r="C28" s="91"/>
    </row>
    <row r="29" spans="1:3" ht="12.5" x14ac:dyDescent="0.25">
      <c r="A29" s="91"/>
      <c r="B29" s="91"/>
      <c r="C29" s="91"/>
    </row>
    <row r="30" spans="1:3" ht="12.5" x14ac:dyDescent="0.25">
      <c r="A30" s="91"/>
      <c r="B30" s="91"/>
      <c r="C30" s="91"/>
    </row>
    <row r="31" spans="1:3" ht="12.5" x14ac:dyDescent="0.25">
      <c r="A31" s="91"/>
      <c r="B31" s="91"/>
      <c r="C31" s="91"/>
    </row>
    <row r="32" spans="1:3" ht="12.5" x14ac:dyDescent="0.25">
      <c r="A32" s="91"/>
      <c r="B32" s="91"/>
      <c r="C32" s="91"/>
    </row>
    <row r="33" spans="1:3" ht="12.5" x14ac:dyDescent="0.25">
      <c r="A33" s="91"/>
      <c r="B33" s="91"/>
      <c r="C33" s="91"/>
    </row>
    <row r="34" spans="1:3" ht="12.5" x14ac:dyDescent="0.25">
      <c r="A34" s="91"/>
      <c r="B34" s="91"/>
      <c r="C34" s="91"/>
    </row>
    <row r="35" spans="1:3" ht="12.5" x14ac:dyDescent="0.25">
      <c r="A35" s="91"/>
      <c r="B35" s="91"/>
      <c r="C35" s="91"/>
    </row>
    <row r="36" spans="1:3" ht="12.5" x14ac:dyDescent="0.25">
      <c r="A36" s="91"/>
      <c r="B36" s="91"/>
      <c r="C36" s="91"/>
    </row>
    <row r="37" spans="1:3" ht="12.5" x14ac:dyDescent="0.25">
      <c r="A37" s="91"/>
      <c r="B37" s="91"/>
      <c r="C37" s="91"/>
    </row>
    <row r="38" spans="1:3" ht="12.5" x14ac:dyDescent="0.25">
      <c r="A38" s="91"/>
      <c r="B38" s="91"/>
      <c r="C38" s="91"/>
    </row>
    <row r="39" spans="1:3" ht="12.5" x14ac:dyDescent="0.25">
      <c r="A39" s="91"/>
      <c r="B39" s="91"/>
      <c r="C39" s="91"/>
    </row>
    <row r="40" spans="1:3" ht="12.5" x14ac:dyDescent="0.25">
      <c r="A40" s="91"/>
      <c r="B40" s="91"/>
      <c r="C40" s="91"/>
    </row>
    <row r="41" spans="1:3" ht="12.5" x14ac:dyDescent="0.25">
      <c r="A41" s="91"/>
      <c r="B41" s="91"/>
      <c r="C41" s="91"/>
    </row>
    <row r="42" spans="1:3" ht="12.5" x14ac:dyDescent="0.25">
      <c r="A42" s="91"/>
      <c r="B42" s="91"/>
      <c r="C42" s="91"/>
    </row>
    <row r="43" spans="1:3" ht="12.5" x14ac:dyDescent="0.25">
      <c r="A43" s="91"/>
      <c r="B43" s="91"/>
      <c r="C43" s="91"/>
    </row>
    <row r="44" spans="1:3" ht="12.5" x14ac:dyDescent="0.25">
      <c r="A44" s="91"/>
      <c r="B44" s="91"/>
      <c r="C44" s="91"/>
    </row>
    <row r="45" spans="1:3" ht="12.5" x14ac:dyDescent="0.25">
      <c r="A45" s="91"/>
      <c r="B45" s="91"/>
      <c r="C45" s="91"/>
    </row>
    <row r="46" spans="1:3" ht="12.5" x14ac:dyDescent="0.25">
      <c r="A46" s="91"/>
      <c r="B46" s="91"/>
      <c r="C46" s="91"/>
    </row>
    <row r="47" spans="1:3" ht="12.5" x14ac:dyDescent="0.25">
      <c r="A47" s="91"/>
      <c r="B47" s="91"/>
      <c r="C47" s="91"/>
    </row>
    <row r="48" spans="1:3" ht="12.5" x14ac:dyDescent="0.25">
      <c r="A48" s="91"/>
      <c r="B48" s="91"/>
      <c r="C48" s="91"/>
    </row>
    <row r="49" spans="1:3" ht="12.5" x14ac:dyDescent="0.25">
      <c r="A49" s="91"/>
      <c r="B49" s="91"/>
      <c r="C49" s="91"/>
    </row>
    <row r="50" spans="1:3" ht="12.5" x14ac:dyDescent="0.25">
      <c r="A50" s="91"/>
      <c r="B50" s="91"/>
      <c r="C50" s="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2020</vt:lpstr>
      <vt:lpstr>2021</vt:lpstr>
      <vt:lpstr>2022</vt:lpstr>
      <vt:lpstr>2023</vt:lpstr>
      <vt:lpstr>2024</vt:lpstr>
      <vt:lpstr>2025</vt:lpstr>
      <vt:lpstr>Einars teorem</vt:lpstr>
      <vt:lpstr>Oldtons selektering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Torbjørn Haugan</cp:lastModifiedBy>
  <dcterms:modified xsi:type="dcterms:W3CDTF">2026-07-25T14:12:29Z</dcterms:modified>
</cp:coreProperties>
</file>